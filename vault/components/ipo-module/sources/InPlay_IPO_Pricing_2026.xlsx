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netorgft16677947-my.sharepoint.com/personal/edwin_johnson_inplayglobal_com/Documents/Desktop/InPlay/"/>
    </mc:Choice>
  </mc:AlternateContent>
  <xr:revisionPtr revIDLastSave="0" documentId="8_{7D82322E-B7D7-45D0-8698-8303873CADC1}" xr6:coauthVersionLast="47" xr6:coauthVersionMax="47" xr10:uidLastSave="{00000000-0000-0000-0000-000000000000}"/>
  <bookViews>
    <workbookView xWindow="1600" yWindow="1890" windowWidth="32930" windowHeight="17400" tabRatio="500" activeTab="1" xr2:uid="{00000000-000D-0000-FFFF-FFFF00000000}"/>
  </bookViews>
  <sheets>
    <sheet name="Parameters" sheetId="1" r:id="rId1"/>
    <sheet name="NFL IPO" sheetId="2" r:id="rId2"/>
    <sheet name="NCAA IPO" sheetId="3" r:id="rId3"/>
    <sheet name="Methodolog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139" i="3" l="1"/>
  <c r="H139" i="3"/>
  <c r="I139" i="3" s="1"/>
  <c r="N139" i="3" s="1"/>
  <c r="P139" i="3" s="1"/>
  <c r="G139" i="3"/>
  <c r="F139" i="3"/>
  <c r="O138" i="3"/>
  <c r="G138" i="3"/>
  <c r="F138" i="3"/>
  <c r="H138" i="3" s="1"/>
  <c r="I138" i="3" s="1"/>
  <c r="N138" i="3" s="1"/>
  <c r="P138" i="3" s="1"/>
  <c r="O137" i="3"/>
  <c r="I137" i="3"/>
  <c r="N137" i="3" s="1"/>
  <c r="P137" i="3" s="1"/>
  <c r="H137" i="3"/>
  <c r="G137" i="3"/>
  <c r="F137" i="3"/>
  <c r="O136" i="3"/>
  <c r="H136" i="3"/>
  <c r="I136" i="3" s="1"/>
  <c r="N136" i="3" s="1"/>
  <c r="P136" i="3" s="1"/>
  <c r="G136" i="3"/>
  <c r="F136" i="3"/>
  <c r="O135" i="3"/>
  <c r="G135" i="3"/>
  <c r="F135" i="3"/>
  <c r="H135" i="3" s="1"/>
  <c r="I135" i="3" s="1"/>
  <c r="N135" i="3" s="1"/>
  <c r="P135" i="3" s="1"/>
  <c r="O134" i="3"/>
  <c r="H134" i="3"/>
  <c r="I134" i="3" s="1"/>
  <c r="N134" i="3" s="1"/>
  <c r="P134" i="3" s="1"/>
  <c r="G134" i="3"/>
  <c r="F134" i="3"/>
  <c r="O133" i="3"/>
  <c r="I133" i="3"/>
  <c r="N133" i="3" s="1"/>
  <c r="P133" i="3" s="1"/>
  <c r="H133" i="3"/>
  <c r="G133" i="3"/>
  <c r="F133" i="3"/>
  <c r="O132" i="3"/>
  <c r="G132" i="3"/>
  <c r="F132" i="3"/>
  <c r="H132" i="3" s="1"/>
  <c r="I132" i="3" s="1"/>
  <c r="N132" i="3" s="1"/>
  <c r="P132" i="3" s="1"/>
  <c r="O131" i="3"/>
  <c r="G131" i="3"/>
  <c r="H131" i="3" s="1"/>
  <c r="I131" i="3" s="1"/>
  <c r="N131" i="3" s="1"/>
  <c r="P131" i="3" s="1"/>
  <c r="Q131" i="3" s="1"/>
  <c r="F131" i="3"/>
  <c r="O130" i="3"/>
  <c r="G130" i="3"/>
  <c r="H130" i="3" s="1"/>
  <c r="I130" i="3" s="1"/>
  <c r="N130" i="3" s="1"/>
  <c r="P130" i="3" s="1"/>
  <c r="F130" i="3"/>
  <c r="O129" i="3"/>
  <c r="N129" i="3"/>
  <c r="P129" i="3" s="1"/>
  <c r="G129" i="3"/>
  <c r="F129" i="3"/>
  <c r="H129" i="3" s="1"/>
  <c r="I129" i="3" s="1"/>
  <c r="O128" i="3"/>
  <c r="Q128" i="3" s="1"/>
  <c r="H128" i="3"/>
  <c r="I128" i="3" s="1"/>
  <c r="N128" i="3" s="1"/>
  <c r="P128" i="3" s="1"/>
  <c r="G128" i="3"/>
  <c r="F128" i="3"/>
  <c r="O127" i="3"/>
  <c r="G127" i="3"/>
  <c r="F127" i="3"/>
  <c r="H127" i="3" s="1"/>
  <c r="I127" i="3" s="1"/>
  <c r="N127" i="3" s="1"/>
  <c r="P127" i="3" s="1"/>
  <c r="O126" i="3"/>
  <c r="G126" i="3"/>
  <c r="F126" i="3"/>
  <c r="H126" i="3" s="1"/>
  <c r="I126" i="3" s="1"/>
  <c r="N126" i="3" s="1"/>
  <c r="P126" i="3" s="1"/>
  <c r="O125" i="3"/>
  <c r="I125" i="3"/>
  <c r="N125" i="3" s="1"/>
  <c r="P125" i="3" s="1"/>
  <c r="H125" i="3"/>
  <c r="G125" i="3"/>
  <c r="F125" i="3"/>
  <c r="O124" i="3"/>
  <c r="H124" i="3"/>
  <c r="I124" i="3" s="1"/>
  <c r="N124" i="3" s="1"/>
  <c r="P124" i="3" s="1"/>
  <c r="G124" i="3"/>
  <c r="F124" i="3"/>
  <c r="O123" i="3"/>
  <c r="G123" i="3"/>
  <c r="F123" i="3"/>
  <c r="H123" i="3" s="1"/>
  <c r="I123" i="3" s="1"/>
  <c r="N123" i="3" s="1"/>
  <c r="P123" i="3" s="1"/>
  <c r="O122" i="3"/>
  <c r="I122" i="3"/>
  <c r="N122" i="3" s="1"/>
  <c r="P122" i="3" s="1"/>
  <c r="H122" i="3"/>
  <c r="G122" i="3"/>
  <c r="F122" i="3"/>
  <c r="O121" i="3"/>
  <c r="I121" i="3"/>
  <c r="N121" i="3" s="1"/>
  <c r="P121" i="3" s="1"/>
  <c r="H121" i="3"/>
  <c r="G121" i="3"/>
  <c r="F121" i="3"/>
  <c r="O120" i="3"/>
  <c r="G120" i="3"/>
  <c r="F120" i="3"/>
  <c r="H120" i="3" s="1"/>
  <c r="I120" i="3" s="1"/>
  <c r="N120" i="3" s="1"/>
  <c r="P120" i="3" s="1"/>
  <c r="O119" i="3"/>
  <c r="G119" i="3"/>
  <c r="H119" i="3" s="1"/>
  <c r="I119" i="3" s="1"/>
  <c r="N119" i="3" s="1"/>
  <c r="P119" i="3" s="1"/>
  <c r="Q119" i="3" s="1"/>
  <c r="F119" i="3"/>
  <c r="O118" i="3"/>
  <c r="G118" i="3"/>
  <c r="H118" i="3" s="1"/>
  <c r="I118" i="3" s="1"/>
  <c r="N118" i="3" s="1"/>
  <c r="P118" i="3" s="1"/>
  <c r="F118" i="3"/>
  <c r="O117" i="3"/>
  <c r="G117" i="3"/>
  <c r="F117" i="3"/>
  <c r="H117" i="3" s="1"/>
  <c r="I117" i="3" s="1"/>
  <c r="N117" i="3" s="1"/>
  <c r="P117" i="3" s="1"/>
  <c r="O116" i="3"/>
  <c r="H116" i="3"/>
  <c r="I116" i="3" s="1"/>
  <c r="N116" i="3" s="1"/>
  <c r="P116" i="3" s="1"/>
  <c r="G116" i="3"/>
  <c r="F116" i="3"/>
  <c r="O115" i="3"/>
  <c r="G115" i="3"/>
  <c r="F115" i="3"/>
  <c r="H115" i="3" s="1"/>
  <c r="I115" i="3" s="1"/>
  <c r="N115" i="3" s="1"/>
  <c r="P115" i="3" s="1"/>
  <c r="O114" i="3"/>
  <c r="G114" i="3"/>
  <c r="F114" i="3"/>
  <c r="H114" i="3" s="1"/>
  <c r="I114" i="3" s="1"/>
  <c r="N114" i="3" s="1"/>
  <c r="P114" i="3" s="1"/>
  <c r="O113" i="3"/>
  <c r="I113" i="3"/>
  <c r="N113" i="3" s="1"/>
  <c r="P113" i="3" s="1"/>
  <c r="H113" i="3"/>
  <c r="G113" i="3"/>
  <c r="F113" i="3"/>
  <c r="O112" i="3"/>
  <c r="H112" i="3"/>
  <c r="I112" i="3" s="1"/>
  <c r="N112" i="3" s="1"/>
  <c r="P112" i="3" s="1"/>
  <c r="G112" i="3"/>
  <c r="F112" i="3"/>
  <c r="O111" i="3"/>
  <c r="G111" i="3"/>
  <c r="F111" i="3"/>
  <c r="H111" i="3" s="1"/>
  <c r="I111" i="3" s="1"/>
  <c r="N111" i="3" s="1"/>
  <c r="P111" i="3" s="1"/>
  <c r="O110" i="3"/>
  <c r="H110" i="3"/>
  <c r="I110" i="3" s="1"/>
  <c r="N110" i="3" s="1"/>
  <c r="P110" i="3" s="1"/>
  <c r="G110" i="3"/>
  <c r="F110" i="3"/>
  <c r="O109" i="3"/>
  <c r="I109" i="3"/>
  <c r="N109" i="3" s="1"/>
  <c r="P109" i="3" s="1"/>
  <c r="H109" i="3"/>
  <c r="G109" i="3"/>
  <c r="F109" i="3"/>
  <c r="O108" i="3"/>
  <c r="G108" i="3"/>
  <c r="F108" i="3"/>
  <c r="H108" i="3" s="1"/>
  <c r="I108" i="3" s="1"/>
  <c r="N108" i="3" s="1"/>
  <c r="P108" i="3" s="1"/>
  <c r="O107" i="3"/>
  <c r="G107" i="3"/>
  <c r="H107" i="3" s="1"/>
  <c r="I107" i="3" s="1"/>
  <c r="N107" i="3" s="1"/>
  <c r="P107" i="3" s="1"/>
  <c r="Q107" i="3" s="1"/>
  <c r="F107" i="3"/>
  <c r="O106" i="3"/>
  <c r="G106" i="3"/>
  <c r="H106" i="3" s="1"/>
  <c r="I106" i="3" s="1"/>
  <c r="N106" i="3" s="1"/>
  <c r="P106" i="3" s="1"/>
  <c r="F106" i="3"/>
  <c r="O105" i="3"/>
  <c r="G105" i="3"/>
  <c r="F105" i="3"/>
  <c r="H105" i="3" s="1"/>
  <c r="I105" i="3" s="1"/>
  <c r="N105" i="3" s="1"/>
  <c r="P105" i="3" s="1"/>
  <c r="O104" i="3"/>
  <c r="G104" i="3"/>
  <c r="H104" i="3" s="1"/>
  <c r="I104" i="3" s="1"/>
  <c r="N104" i="3" s="1"/>
  <c r="P104" i="3" s="1"/>
  <c r="F104" i="3"/>
  <c r="O103" i="3"/>
  <c r="G103" i="3"/>
  <c r="F103" i="3"/>
  <c r="H103" i="3" s="1"/>
  <c r="I103" i="3" s="1"/>
  <c r="N103" i="3" s="1"/>
  <c r="P103" i="3" s="1"/>
  <c r="O102" i="3"/>
  <c r="G102" i="3"/>
  <c r="F102" i="3"/>
  <c r="H102" i="3" s="1"/>
  <c r="I102" i="3" s="1"/>
  <c r="N102" i="3" s="1"/>
  <c r="P102" i="3" s="1"/>
  <c r="O101" i="3"/>
  <c r="G101" i="3"/>
  <c r="H101" i="3" s="1"/>
  <c r="I101" i="3" s="1"/>
  <c r="N101" i="3" s="1"/>
  <c r="P101" i="3" s="1"/>
  <c r="F101" i="3"/>
  <c r="O100" i="3"/>
  <c r="H100" i="3"/>
  <c r="I100" i="3" s="1"/>
  <c r="N100" i="3" s="1"/>
  <c r="P100" i="3" s="1"/>
  <c r="G100" i="3"/>
  <c r="F100" i="3"/>
  <c r="O99" i="3"/>
  <c r="G99" i="3"/>
  <c r="F99" i="3"/>
  <c r="H99" i="3" s="1"/>
  <c r="I99" i="3" s="1"/>
  <c r="N99" i="3" s="1"/>
  <c r="P99" i="3" s="1"/>
  <c r="O98" i="3"/>
  <c r="H98" i="3"/>
  <c r="I98" i="3" s="1"/>
  <c r="N98" i="3" s="1"/>
  <c r="P98" i="3" s="1"/>
  <c r="G98" i="3"/>
  <c r="F98" i="3"/>
  <c r="O97" i="3"/>
  <c r="I97" i="3"/>
  <c r="N97" i="3" s="1"/>
  <c r="P97" i="3" s="1"/>
  <c r="H97" i="3"/>
  <c r="G97" i="3"/>
  <c r="F97" i="3"/>
  <c r="O96" i="3"/>
  <c r="G96" i="3"/>
  <c r="F96" i="3"/>
  <c r="H96" i="3" s="1"/>
  <c r="I96" i="3" s="1"/>
  <c r="N96" i="3" s="1"/>
  <c r="P96" i="3" s="1"/>
  <c r="O95" i="3"/>
  <c r="G95" i="3"/>
  <c r="H95" i="3" s="1"/>
  <c r="I95" i="3" s="1"/>
  <c r="N95" i="3" s="1"/>
  <c r="P95" i="3" s="1"/>
  <c r="Q95" i="3" s="1"/>
  <c r="F95" i="3"/>
  <c r="O94" i="3"/>
  <c r="G94" i="3"/>
  <c r="H94" i="3" s="1"/>
  <c r="I94" i="3" s="1"/>
  <c r="N94" i="3" s="1"/>
  <c r="P94" i="3" s="1"/>
  <c r="F94" i="3"/>
  <c r="O93" i="3"/>
  <c r="G93" i="3"/>
  <c r="F93" i="3"/>
  <c r="H93" i="3" s="1"/>
  <c r="I93" i="3" s="1"/>
  <c r="N93" i="3" s="1"/>
  <c r="P93" i="3" s="1"/>
  <c r="O92" i="3"/>
  <c r="Q92" i="3" s="1"/>
  <c r="G92" i="3"/>
  <c r="F92" i="3"/>
  <c r="H92" i="3" s="1"/>
  <c r="I92" i="3" s="1"/>
  <c r="N92" i="3" s="1"/>
  <c r="P92" i="3" s="1"/>
  <c r="O91" i="3"/>
  <c r="H91" i="3"/>
  <c r="I91" i="3" s="1"/>
  <c r="N91" i="3" s="1"/>
  <c r="P91" i="3" s="1"/>
  <c r="G91" i="3"/>
  <c r="F91" i="3"/>
  <c r="O90" i="3"/>
  <c r="G90" i="3"/>
  <c r="F90" i="3"/>
  <c r="H90" i="3" s="1"/>
  <c r="I90" i="3" s="1"/>
  <c r="N90" i="3" s="1"/>
  <c r="P90" i="3" s="1"/>
  <c r="O89" i="3"/>
  <c r="Q89" i="3" s="1"/>
  <c r="G89" i="3"/>
  <c r="F89" i="3"/>
  <c r="H89" i="3" s="1"/>
  <c r="I89" i="3" s="1"/>
  <c r="N89" i="3" s="1"/>
  <c r="P89" i="3" s="1"/>
  <c r="O88" i="3"/>
  <c r="G88" i="3"/>
  <c r="H88" i="3" s="1"/>
  <c r="I88" i="3" s="1"/>
  <c r="N88" i="3" s="1"/>
  <c r="P88" i="3" s="1"/>
  <c r="F88" i="3"/>
  <c r="O87" i="3"/>
  <c r="G87" i="3"/>
  <c r="F87" i="3"/>
  <c r="H87" i="3" s="1"/>
  <c r="I87" i="3" s="1"/>
  <c r="N87" i="3" s="1"/>
  <c r="P87" i="3" s="1"/>
  <c r="O86" i="3"/>
  <c r="I86" i="3"/>
  <c r="N86" i="3" s="1"/>
  <c r="P86" i="3" s="1"/>
  <c r="H86" i="3"/>
  <c r="G86" i="3"/>
  <c r="F86" i="3"/>
  <c r="O85" i="3"/>
  <c r="I85" i="3"/>
  <c r="N85" i="3" s="1"/>
  <c r="P85" i="3" s="1"/>
  <c r="H85" i="3"/>
  <c r="G85" i="3"/>
  <c r="F85" i="3"/>
  <c r="O84" i="3"/>
  <c r="Q84" i="3" s="1"/>
  <c r="G84" i="3"/>
  <c r="F84" i="3"/>
  <c r="H84" i="3" s="1"/>
  <c r="I84" i="3" s="1"/>
  <c r="N84" i="3" s="1"/>
  <c r="P84" i="3" s="1"/>
  <c r="O83" i="3"/>
  <c r="G83" i="3"/>
  <c r="H83" i="3" s="1"/>
  <c r="I83" i="3" s="1"/>
  <c r="N83" i="3" s="1"/>
  <c r="P83" i="3" s="1"/>
  <c r="Q83" i="3" s="1"/>
  <c r="F83" i="3"/>
  <c r="O82" i="3"/>
  <c r="G82" i="3"/>
  <c r="H82" i="3" s="1"/>
  <c r="I82" i="3" s="1"/>
  <c r="N82" i="3" s="1"/>
  <c r="P82" i="3" s="1"/>
  <c r="F82" i="3"/>
  <c r="O81" i="3"/>
  <c r="G81" i="3"/>
  <c r="F81" i="3"/>
  <c r="H81" i="3" s="1"/>
  <c r="I81" i="3" s="1"/>
  <c r="N81" i="3" s="1"/>
  <c r="P81" i="3" s="1"/>
  <c r="O80" i="3"/>
  <c r="G80" i="3"/>
  <c r="F80" i="3"/>
  <c r="H80" i="3" s="1"/>
  <c r="I80" i="3" s="1"/>
  <c r="N80" i="3" s="1"/>
  <c r="P80" i="3" s="1"/>
  <c r="O79" i="3"/>
  <c r="G79" i="3"/>
  <c r="F79" i="3"/>
  <c r="H79" i="3" s="1"/>
  <c r="I79" i="3" s="1"/>
  <c r="N79" i="3" s="1"/>
  <c r="P79" i="3" s="1"/>
  <c r="O78" i="3"/>
  <c r="G78" i="3"/>
  <c r="F78" i="3"/>
  <c r="H78" i="3" s="1"/>
  <c r="I78" i="3" s="1"/>
  <c r="N78" i="3" s="1"/>
  <c r="P78" i="3" s="1"/>
  <c r="O77" i="3"/>
  <c r="G77" i="3"/>
  <c r="F77" i="3"/>
  <c r="H77" i="3" s="1"/>
  <c r="I77" i="3" s="1"/>
  <c r="N77" i="3" s="1"/>
  <c r="P77" i="3" s="1"/>
  <c r="O76" i="3"/>
  <c r="G76" i="3"/>
  <c r="H76" i="3" s="1"/>
  <c r="I76" i="3" s="1"/>
  <c r="N76" i="3" s="1"/>
  <c r="P76" i="3" s="1"/>
  <c r="F76" i="3"/>
  <c r="O75" i="3"/>
  <c r="G75" i="3"/>
  <c r="F75" i="3"/>
  <c r="H75" i="3" s="1"/>
  <c r="I75" i="3" s="1"/>
  <c r="N75" i="3" s="1"/>
  <c r="P75" i="3" s="1"/>
  <c r="O74" i="3"/>
  <c r="H74" i="3"/>
  <c r="I74" i="3" s="1"/>
  <c r="N74" i="3" s="1"/>
  <c r="P74" i="3" s="1"/>
  <c r="G74" i="3"/>
  <c r="F74" i="3"/>
  <c r="O73" i="3"/>
  <c r="I73" i="3"/>
  <c r="N73" i="3" s="1"/>
  <c r="P73" i="3" s="1"/>
  <c r="H73" i="3"/>
  <c r="G73" i="3"/>
  <c r="F73" i="3"/>
  <c r="O72" i="3"/>
  <c r="Q72" i="3" s="1"/>
  <c r="G72" i="3"/>
  <c r="F72" i="3"/>
  <c r="H72" i="3" s="1"/>
  <c r="I72" i="3" s="1"/>
  <c r="N72" i="3" s="1"/>
  <c r="P72" i="3" s="1"/>
  <c r="O71" i="3"/>
  <c r="G71" i="3"/>
  <c r="H71" i="3" s="1"/>
  <c r="I71" i="3" s="1"/>
  <c r="N71" i="3" s="1"/>
  <c r="P71" i="3" s="1"/>
  <c r="Q71" i="3" s="1"/>
  <c r="F71" i="3"/>
  <c r="O70" i="3"/>
  <c r="G70" i="3"/>
  <c r="H70" i="3" s="1"/>
  <c r="I70" i="3" s="1"/>
  <c r="N70" i="3" s="1"/>
  <c r="P70" i="3" s="1"/>
  <c r="F70" i="3"/>
  <c r="O69" i="3"/>
  <c r="N69" i="3"/>
  <c r="P69" i="3" s="1"/>
  <c r="G69" i="3"/>
  <c r="F69" i="3"/>
  <c r="H69" i="3" s="1"/>
  <c r="I69" i="3" s="1"/>
  <c r="O68" i="3"/>
  <c r="G68" i="3"/>
  <c r="F68" i="3"/>
  <c r="H68" i="3" s="1"/>
  <c r="I68" i="3" s="1"/>
  <c r="N68" i="3" s="1"/>
  <c r="P68" i="3" s="1"/>
  <c r="O67" i="3"/>
  <c r="G67" i="3"/>
  <c r="F67" i="3"/>
  <c r="H67" i="3" s="1"/>
  <c r="I67" i="3" s="1"/>
  <c r="N67" i="3" s="1"/>
  <c r="P67" i="3" s="1"/>
  <c r="O66" i="3"/>
  <c r="G66" i="3"/>
  <c r="F66" i="3"/>
  <c r="O65" i="3"/>
  <c r="Q65" i="3" s="1"/>
  <c r="G65" i="3"/>
  <c r="F65" i="3"/>
  <c r="H65" i="3" s="1"/>
  <c r="I65" i="3" s="1"/>
  <c r="N65" i="3" s="1"/>
  <c r="P65" i="3" s="1"/>
  <c r="O64" i="3"/>
  <c r="G64" i="3"/>
  <c r="H64" i="3" s="1"/>
  <c r="I64" i="3" s="1"/>
  <c r="N64" i="3" s="1"/>
  <c r="P64" i="3" s="1"/>
  <c r="F64" i="3"/>
  <c r="O63" i="3"/>
  <c r="G63" i="3"/>
  <c r="F63" i="3"/>
  <c r="H63" i="3" s="1"/>
  <c r="I63" i="3" s="1"/>
  <c r="N63" i="3" s="1"/>
  <c r="P63" i="3" s="1"/>
  <c r="O62" i="3"/>
  <c r="H62" i="3"/>
  <c r="I62" i="3" s="1"/>
  <c r="N62" i="3" s="1"/>
  <c r="P62" i="3" s="1"/>
  <c r="G62" i="3"/>
  <c r="F62" i="3"/>
  <c r="O61" i="3"/>
  <c r="I61" i="3"/>
  <c r="N61" i="3" s="1"/>
  <c r="P61" i="3" s="1"/>
  <c r="H61" i="3"/>
  <c r="G61" i="3"/>
  <c r="F61" i="3"/>
  <c r="O60" i="3"/>
  <c r="Q60" i="3" s="1"/>
  <c r="G60" i="3"/>
  <c r="F60" i="3"/>
  <c r="H60" i="3" s="1"/>
  <c r="I60" i="3" s="1"/>
  <c r="N60" i="3" s="1"/>
  <c r="P60" i="3" s="1"/>
  <c r="O59" i="3"/>
  <c r="G59" i="3"/>
  <c r="H59" i="3" s="1"/>
  <c r="I59" i="3" s="1"/>
  <c r="N59" i="3" s="1"/>
  <c r="P59" i="3" s="1"/>
  <c r="Q59" i="3" s="1"/>
  <c r="F59" i="3"/>
  <c r="O58" i="3"/>
  <c r="G58" i="3"/>
  <c r="H58" i="3" s="1"/>
  <c r="I58" i="3" s="1"/>
  <c r="N58" i="3" s="1"/>
  <c r="P58" i="3" s="1"/>
  <c r="F58" i="3"/>
  <c r="O57" i="3"/>
  <c r="G57" i="3"/>
  <c r="F57" i="3"/>
  <c r="H57" i="3" s="1"/>
  <c r="I57" i="3" s="1"/>
  <c r="N57" i="3" s="1"/>
  <c r="P57" i="3" s="1"/>
  <c r="O56" i="3"/>
  <c r="G56" i="3"/>
  <c r="F56" i="3"/>
  <c r="H56" i="3" s="1"/>
  <c r="I56" i="3" s="1"/>
  <c r="N56" i="3" s="1"/>
  <c r="P56" i="3" s="1"/>
  <c r="O55" i="3"/>
  <c r="G55" i="3"/>
  <c r="H55" i="3" s="1"/>
  <c r="I55" i="3" s="1"/>
  <c r="N55" i="3" s="1"/>
  <c r="P55" i="3" s="1"/>
  <c r="F55" i="3"/>
  <c r="O54" i="3"/>
  <c r="Q54" i="3" s="1"/>
  <c r="G54" i="3"/>
  <c r="F54" i="3"/>
  <c r="H54" i="3" s="1"/>
  <c r="I54" i="3" s="1"/>
  <c r="N54" i="3" s="1"/>
  <c r="P54" i="3" s="1"/>
  <c r="O53" i="3"/>
  <c r="G53" i="3"/>
  <c r="F53" i="3"/>
  <c r="H53" i="3" s="1"/>
  <c r="I53" i="3" s="1"/>
  <c r="N53" i="3" s="1"/>
  <c r="P53" i="3" s="1"/>
  <c r="O52" i="3"/>
  <c r="G52" i="3"/>
  <c r="H52" i="3" s="1"/>
  <c r="I52" i="3" s="1"/>
  <c r="N52" i="3" s="1"/>
  <c r="P52" i="3" s="1"/>
  <c r="F52" i="3"/>
  <c r="O51" i="3"/>
  <c r="G51" i="3"/>
  <c r="F51" i="3"/>
  <c r="H51" i="3" s="1"/>
  <c r="I51" i="3" s="1"/>
  <c r="N51" i="3" s="1"/>
  <c r="P51" i="3" s="1"/>
  <c r="O50" i="3"/>
  <c r="H50" i="3"/>
  <c r="I50" i="3" s="1"/>
  <c r="N50" i="3" s="1"/>
  <c r="P50" i="3" s="1"/>
  <c r="G50" i="3"/>
  <c r="F50" i="3"/>
  <c r="O49" i="3"/>
  <c r="I49" i="3"/>
  <c r="N49" i="3" s="1"/>
  <c r="P49" i="3" s="1"/>
  <c r="H49" i="3"/>
  <c r="G49" i="3"/>
  <c r="F49" i="3"/>
  <c r="O48" i="3"/>
  <c r="G48" i="3"/>
  <c r="F48" i="3"/>
  <c r="H48" i="3" s="1"/>
  <c r="I48" i="3" s="1"/>
  <c r="N48" i="3" s="1"/>
  <c r="P48" i="3" s="1"/>
  <c r="O47" i="3"/>
  <c r="G47" i="3"/>
  <c r="H47" i="3" s="1"/>
  <c r="I47" i="3" s="1"/>
  <c r="N47" i="3" s="1"/>
  <c r="P47" i="3" s="1"/>
  <c r="Q47" i="3" s="1"/>
  <c r="F47" i="3"/>
  <c r="O46" i="3"/>
  <c r="Q46" i="3" s="1"/>
  <c r="G46" i="3"/>
  <c r="H46" i="3" s="1"/>
  <c r="I46" i="3" s="1"/>
  <c r="N46" i="3" s="1"/>
  <c r="P46" i="3" s="1"/>
  <c r="F46" i="3"/>
  <c r="O45" i="3"/>
  <c r="G45" i="3"/>
  <c r="F45" i="3"/>
  <c r="H45" i="3" s="1"/>
  <c r="I45" i="3" s="1"/>
  <c r="N45" i="3" s="1"/>
  <c r="P45" i="3" s="1"/>
  <c r="O44" i="3"/>
  <c r="G44" i="3"/>
  <c r="H44" i="3" s="1"/>
  <c r="I44" i="3" s="1"/>
  <c r="N44" i="3" s="1"/>
  <c r="P44" i="3" s="1"/>
  <c r="F44" i="3"/>
  <c r="O43" i="3"/>
  <c r="H43" i="3"/>
  <c r="I43" i="3" s="1"/>
  <c r="N43" i="3" s="1"/>
  <c r="P43" i="3" s="1"/>
  <c r="G43" i="3"/>
  <c r="F43" i="3"/>
  <c r="O42" i="3"/>
  <c r="G42" i="3"/>
  <c r="F42" i="3"/>
  <c r="H42" i="3" s="1"/>
  <c r="I42" i="3" s="1"/>
  <c r="N42" i="3" s="1"/>
  <c r="P42" i="3" s="1"/>
  <c r="O41" i="3"/>
  <c r="G41" i="3"/>
  <c r="F41" i="3"/>
  <c r="H41" i="3" s="1"/>
  <c r="I41" i="3" s="1"/>
  <c r="N41" i="3" s="1"/>
  <c r="P41" i="3" s="1"/>
  <c r="O40" i="3"/>
  <c r="G40" i="3"/>
  <c r="H40" i="3" s="1"/>
  <c r="I40" i="3" s="1"/>
  <c r="N40" i="3" s="1"/>
  <c r="P40" i="3" s="1"/>
  <c r="F40" i="3"/>
  <c r="O39" i="3"/>
  <c r="G39" i="3"/>
  <c r="F39" i="3"/>
  <c r="H39" i="3" s="1"/>
  <c r="I39" i="3" s="1"/>
  <c r="N39" i="3" s="1"/>
  <c r="P39" i="3" s="1"/>
  <c r="O38" i="3"/>
  <c r="H38" i="3"/>
  <c r="I38" i="3" s="1"/>
  <c r="N38" i="3" s="1"/>
  <c r="P38" i="3" s="1"/>
  <c r="G38" i="3"/>
  <c r="F38" i="3"/>
  <c r="O37" i="3"/>
  <c r="G37" i="3"/>
  <c r="F37" i="3"/>
  <c r="H37" i="3" s="1"/>
  <c r="I37" i="3" s="1"/>
  <c r="N37" i="3" s="1"/>
  <c r="P37" i="3" s="1"/>
  <c r="O36" i="3"/>
  <c r="G36" i="3"/>
  <c r="F36" i="3"/>
  <c r="H36" i="3" s="1"/>
  <c r="I36" i="3" s="1"/>
  <c r="N36" i="3" s="1"/>
  <c r="P36" i="3" s="1"/>
  <c r="O35" i="3"/>
  <c r="G35" i="3"/>
  <c r="H35" i="3" s="1"/>
  <c r="I35" i="3" s="1"/>
  <c r="N35" i="3" s="1"/>
  <c r="P35" i="3" s="1"/>
  <c r="Q35" i="3" s="1"/>
  <c r="F35" i="3"/>
  <c r="O34" i="3"/>
  <c r="G34" i="3"/>
  <c r="H34" i="3" s="1"/>
  <c r="I34" i="3" s="1"/>
  <c r="N34" i="3" s="1"/>
  <c r="P34" i="3" s="1"/>
  <c r="F34" i="3"/>
  <c r="O33" i="3"/>
  <c r="G33" i="3"/>
  <c r="F33" i="3"/>
  <c r="H33" i="3" s="1"/>
  <c r="I33" i="3" s="1"/>
  <c r="N33" i="3" s="1"/>
  <c r="P33" i="3" s="1"/>
  <c r="O32" i="3"/>
  <c r="G32" i="3"/>
  <c r="F32" i="3"/>
  <c r="H32" i="3" s="1"/>
  <c r="I32" i="3" s="1"/>
  <c r="N32" i="3" s="1"/>
  <c r="O31" i="3"/>
  <c r="G31" i="3"/>
  <c r="F31" i="3"/>
  <c r="H31" i="3" s="1"/>
  <c r="I31" i="3" s="1"/>
  <c r="N31" i="3" s="1"/>
  <c r="P31" i="3" s="1"/>
  <c r="O30" i="3"/>
  <c r="G30" i="3"/>
  <c r="F30" i="3"/>
  <c r="H30" i="3" s="1"/>
  <c r="I30" i="3" s="1"/>
  <c r="N30" i="3" s="1"/>
  <c r="P30" i="3" s="1"/>
  <c r="O29" i="3"/>
  <c r="G29" i="3"/>
  <c r="F29" i="3"/>
  <c r="H29" i="3" s="1"/>
  <c r="I29" i="3" s="1"/>
  <c r="N29" i="3" s="1"/>
  <c r="P29" i="3" s="1"/>
  <c r="O28" i="3"/>
  <c r="G28" i="3"/>
  <c r="H28" i="3" s="1"/>
  <c r="I28" i="3" s="1"/>
  <c r="N28" i="3" s="1"/>
  <c r="P28" i="3" s="1"/>
  <c r="F28" i="3"/>
  <c r="O27" i="3"/>
  <c r="G27" i="3"/>
  <c r="F27" i="3"/>
  <c r="H27" i="3" s="1"/>
  <c r="I27" i="3" s="1"/>
  <c r="N27" i="3" s="1"/>
  <c r="P27" i="3" s="1"/>
  <c r="Q27" i="3" s="1"/>
  <c r="O26" i="3"/>
  <c r="H26" i="3"/>
  <c r="I26" i="3" s="1"/>
  <c r="N26" i="3" s="1"/>
  <c r="P26" i="3" s="1"/>
  <c r="G26" i="3"/>
  <c r="F26" i="3"/>
  <c r="O25" i="3"/>
  <c r="G25" i="3"/>
  <c r="F25" i="3"/>
  <c r="H25" i="3" s="1"/>
  <c r="I25" i="3" s="1"/>
  <c r="N25" i="3" s="1"/>
  <c r="P25" i="3" s="1"/>
  <c r="O24" i="3"/>
  <c r="G24" i="3"/>
  <c r="F24" i="3"/>
  <c r="H24" i="3" s="1"/>
  <c r="I24" i="3" s="1"/>
  <c r="N24" i="3" s="1"/>
  <c r="P24" i="3" s="1"/>
  <c r="O23" i="3"/>
  <c r="G23" i="3"/>
  <c r="H23" i="3" s="1"/>
  <c r="I23" i="3" s="1"/>
  <c r="N23" i="3" s="1"/>
  <c r="P23" i="3" s="1"/>
  <c r="Q23" i="3" s="1"/>
  <c r="F23" i="3"/>
  <c r="O22" i="3"/>
  <c r="G22" i="3"/>
  <c r="H22" i="3" s="1"/>
  <c r="I22" i="3" s="1"/>
  <c r="N22" i="3" s="1"/>
  <c r="P22" i="3" s="1"/>
  <c r="F22" i="3"/>
  <c r="O21" i="3"/>
  <c r="N21" i="3"/>
  <c r="P21" i="3" s="1"/>
  <c r="G21" i="3"/>
  <c r="F21" i="3"/>
  <c r="H21" i="3" s="1"/>
  <c r="I21" i="3" s="1"/>
  <c r="O20" i="3"/>
  <c r="G20" i="3"/>
  <c r="F20" i="3"/>
  <c r="H20" i="3" s="1"/>
  <c r="I20" i="3" s="1"/>
  <c r="N20" i="3" s="1"/>
  <c r="O19" i="3"/>
  <c r="G19" i="3"/>
  <c r="F19" i="3"/>
  <c r="H19" i="3" s="1"/>
  <c r="I19" i="3" s="1"/>
  <c r="N19" i="3" s="1"/>
  <c r="P19" i="3" s="1"/>
  <c r="O18" i="3"/>
  <c r="G18" i="3"/>
  <c r="F18" i="3"/>
  <c r="H18" i="3" s="1"/>
  <c r="I18" i="3" s="1"/>
  <c r="N18" i="3" s="1"/>
  <c r="P18" i="3" s="1"/>
  <c r="O17" i="3"/>
  <c r="G17" i="3"/>
  <c r="F17" i="3"/>
  <c r="H17" i="3" s="1"/>
  <c r="I17" i="3" s="1"/>
  <c r="N17" i="3" s="1"/>
  <c r="P17" i="3" s="1"/>
  <c r="O16" i="3"/>
  <c r="G16" i="3"/>
  <c r="H16" i="3" s="1"/>
  <c r="I16" i="3" s="1"/>
  <c r="N16" i="3" s="1"/>
  <c r="P16" i="3" s="1"/>
  <c r="F16" i="3"/>
  <c r="O15" i="3"/>
  <c r="G15" i="3"/>
  <c r="F15" i="3"/>
  <c r="H15" i="3" s="1"/>
  <c r="I15" i="3" s="1"/>
  <c r="N15" i="3" s="1"/>
  <c r="P15" i="3" s="1"/>
  <c r="O14" i="3"/>
  <c r="H14" i="3"/>
  <c r="I14" i="3" s="1"/>
  <c r="N14" i="3" s="1"/>
  <c r="P14" i="3" s="1"/>
  <c r="G14" i="3"/>
  <c r="F14" i="3"/>
  <c r="O13" i="3"/>
  <c r="G13" i="3"/>
  <c r="F13" i="3"/>
  <c r="H13" i="3" s="1"/>
  <c r="I13" i="3" s="1"/>
  <c r="N13" i="3" s="1"/>
  <c r="P13" i="3" s="1"/>
  <c r="O12" i="3"/>
  <c r="G12" i="3"/>
  <c r="F12" i="3"/>
  <c r="H12" i="3" s="1"/>
  <c r="I12" i="3" s="1"/>
  <c r="N12" i="3" s="1"/>
  <c r="P12" i="3" s="1"/>
  <c r="O11" i="3"/>
  <c r="G11" i="3"/>
  <c r="H11" i="3" s="1"/>
  <c r="I11" i="3" s="1"/>
  <c r="N11" i="3" s="1"/>
  <c r="P11" i="3" s="1"/>
  <c r="Q11" i="3" s="1"/>
  <c r="F11" i="3"/>
  <c r="O10" i="3"/>
  <c r="G10" i="3"/>
  <c r="H10" i="3" s="1"/>
  <c r="I10" i="3" s="1"/>
  <c r="N10" i="3" s="1"/>
  <c r="P10" i="3" s="1"/>
  <c r="F10" i="3"/>
  <c r="O9" i="3"/>
  <c r="I9" i="3"/>
  <c r="N9" i="3" s="1"/>
  <c r="P9" i="3" s="1"/>
  <c r="G9" i="3"/>
  <c r="F9" i="3"/>
  <c r="H9" i="3" s="1"/>
  <c r="O8" i="3"/>
  <c r="G8" i="3"/>
  <c r="F8" i="3"/>
  <c r="H8" i="3" s="1"/>
  <c r="I8" i="3" s="1"/>
  <c r="N8" i="3" s="1"/>
  <c r="P8" i="3" s="1"/>
  <c r="O7" i="3"/>
  <c r="G7" i="3"/>
  <c r="F7" i="3"/>
  <c r="H7" i="3" s="1"/>
  <c r="I7" i="3" s="1"/>
  <c r="N7" i="3" s="1"/>
  <c r="P7" i="3" s="1"/>
  <c r="O6" i="3"/>
  <c r="G6" i="3"/>
  <c r="F6" i="3"/>
  <c r="H6" i="3" s="1"/>
  <c r="I6" i="3" s="1"/>
  <c r="N6" i="3" s="1"/>
  <c r="P6" i="3" s="1"/>
  <c r="O5" i="3"/>
  <c r="G5" i="3"/>
  <c r="F5" i="3"/>
  <c r="H5" i="3" s="1"/>
  <c r="I5" i="3" s="1"/>
  <c r="N5" i="3" s="1"/>
  <c r="P5" i="3" s="1"/>
  <c r="O4" i="3"/>
  <c r="G4" i="3"/>
  <c r="H4" i="3" s="1"/>
  <c r="I4" i="3" s="1"/>
  <c r="N4" i="3" s="1"/>
  <c r="F4" i="3"/>
  <c r="O3" i="3"/>
  <c r="G3" i="3"/>
  <c r="F3" i="3"/>
  <c r="H3" i="3" s="1"/>
  <c r="I3" i="3" s="1"/>
  <c r="N3" i="3" s="1"/>
  <c r="P3" i="3" s="1"/>
  <c r="O2" i="3"/>
  <c r="G2" i="3"/>
  <c r="H2" i="3" s="1"/>
  <c r="I2" i="3" s="1"/>
  <c r="N2" i="3" s="1"/>
  <c r="P2" i="3" s="1"/>
  <c r="F2" i="3"/>
  <c r="O33" i="2"/>
  <c r="I33" i="2"/>
  <c r="N33" i="2" s="1"/>
  <c r="P33" i="2" s="1"/>
  <c r="H33" i="2"/>
  <c r="G33" i="2"/>
  <c r="F33" i="2"/>
  <c r="O32" i="2"/>
  <c r="G32" i="2"/>
  <c r="F32" i="2"/>
  <c r="H32" i="2" s="1"/>
  <c r="I32" i="2" s="1"/>
  <c r="N32" i="2" s="1"/>
  <c r="P32" i="2" s="1"/>
  <c r="Q31" i="2"/>
  <c r="O31" i="2"/>
  <c r="I31" i="2"/>
  <c r="N31" i="2" s="1"/>
  <c r="P31" i="2" s="1"/>
  <c r="G31" i="2"/>
  <c r="F31" i="2"/>
  <c r="H31" i="2" s="1"/>
  <c r="O30" i="2"/>
  <c r="G30" i="2"/>
  <c r="H30" i="2" s="1"/>
  <c r="I30" i="2" s="1"/>
  <c r="N30" i="2" s="1"/>
  <c r="P30" i="2" s="1"/>
  <c r="F30" i="2"/>
  <c r="O29" i="2"/>
  <c r="G29" i="2"/>
  <c r="F29" i="2"/>
  <c r="H29" i="2" s="1"/>
  <c r="I29" i="2" s="1"/>
  <c r="N29" i="2" s="1"/>
  <c r="P29" i="2" s="1"/>
  <c r="O28" i="2"/>
  <c r="H28" i="2"/>
  <c r="I28" i="2" s="1"/>
  <c r="N28" i="2" s="1"/>
  <c r="P28" i="2" s="1"/>
  <c r="G28" i="2"/>
  <c r="F28" i="2"/>
  <c r="O27" i="2"/>
  <c r="H27" i="2"/>
  <c r="I27" i="2" s="1"/>
  <c r="N27" i="2" s="1"/>
  <c r="P27" i="2" s="1"/>
  <c r="G27" i="2"/>
  <c r="F27" i="2"/>
  <c r="O26" i="2"/>
  <c r="G26" i="2"/>
  <c r="F26" i="2"/>
  <c r="O25" i="2"/>
  <c r="G25" i="2"/>
  <c r="F25" i="2"/>
  <c r="H25" i="2" s="1"/>
  <c r="I25" i="2" s="1"/>
  <c r="N25" i="2" s="1"/>
  <c r="P25" i="2" s="1"/>
  <c r="O24" i="2"/>
  <c r="H24" i="2"/>
  <c r="I24" i="2" s="1"/>
  <c r="N24" i="2" s="1"/>
  <c r="P24" i="2" s="1"/>
  <c r="G24" i="2"/>
  <c r="F24" i="2"/>
  <c r="O23" i="2"/>
  <c r="G23" i="2"/>
  <c r="F23" i="2"/>
  <c r="H23" i="2" s="1"/>
  <c r="I23" i="2" s="1"/>
  <c r="N23" i="2" s="1"/>
  <c r="P23" i="2" s="1"/>
  <c r="O22" i="2"/>
  <c r="H22" i="2"/>
  <c r="I22" i="2" s="1"/>
  <c r="N22" i="2" s="1"/>
  <c r="P22" i="2" s="1"/>
  <c r="G22" i="2"/>
  <c r="F22" i="2"/>
  <c r="O21" i="2"/>
  <c r="I21" i="2"/>
  <c r="N21" i="2" s="1"/>
  <c r="P21" i="2" s="1"/>
  <c r="H21" i="2"/>
  <c r="G21" i="2"/>
  <c r="F21" i="2"/>
  <c r="O20" i="2"/>
  <c r="G20" i="2"/>
  <c r="F20" i="2"/>
  <c r="H20" i="2" s="1"/>
  <c r="I20" i="2" s="1"/>
  <c r="N20" i="2" s="1"/>
  <c r="P20" i="2" s="1"/>
  <c r="O19" i="2"/>
  <c r="G19" i="2"/>
  <c r="H19" i="2" s="1"/>
  <c r="I19" i="2" s="1"/>
  <c r="N19" i="2" s="1"/>
  <c r="P19" i="2" s="1"/>
  <c r="F19" i="2"/>
  <c r="O18" i="2"/>
  <c r="G18" i="2"/>
  <c r="H18" i="2" s="1"/>
  <c r="I18" i="2" s="1"/>
  <c r="N18" i="2" s="1"/>
  <c r="P18" i="2" s="1"/>
  <c r="F18" i="2"/>
  <c r="O17" i="2"/>
  <c r="G17" i="2"/>
  <c r="F17" i="2"/>
  <c r="H17" i="2" s="1"/>
  <c r="I17" i="2" s="1"/>
  <c r="N17" i="2" s="1"/>
  <c r="P17" i="2" s="1"/>
  <c r="O16" i="2"/>
  <c r="H16" i="2"/>
  <c r="I16" i="2" s="1"/>
  <c r="N16" i="2" s="1"/>
  <c r="P16" i="2" s="1"/>
  <c r="G16" i="2"/>
  <c r="F16" i="2"/>
  <c r="O15" i="2"/>
  <c r="G15" i="2"/>
  <c r="F15" i="2"/>
  <c r="H15" i="2" s="1"/>
  <c r="I15" i="2" s="1"/>
  <c r="N15" i="2" s="1"/>
  <c r="P15" i="2" s="1"/>
  <c r="P14" i="2"/>
  <c r="O14" i="2"/>
  <c r="G14" i="2"/>
  <c r="F14" i="2"/>
  <c r="H14" i="2" s="1"/>
  <c r="I14" i="2" s="1"/>
  <c r="N14" i="2" s="1"/>
  <c r="O13" i="2"/>
  <c r="Q13" i="2" s="1"/>
  <c r="G13" i="2"/>
  <c r="F13" i="2"/>
  <c r="H13" i="2" s="1"/>
  <c r="I13" i="2" s="1"/>
  <c r="N13" i="2" s="1"/>
  <c r="P13" i="2" s="1"/>
  <c r="O12" i="2"/>
  <c r="G12" i="2"/>
  <c r="H12" i="2" s="1"/>
  <c r="I12" i="2" s="1"/>
  <c r="N12" i="2" s="1"/>
  <c r="P12" i="2" s="1"/>
  <c r="F12" i="2"/>
  <c r="O11" i="2"/>
  <c r="G11" i="2"/>
  <c r="F11" i="2"/>
  <c r="H11" i="2" s="1"/>
  <c r="I11" i="2" s="1"/>
  <c r="N11" i="2" s="1"/>
  <c r="P11" i="2" s="1"/>
  <c r="O10" i="2"/>
  <c r="G10" i="2"/>
  <c r="H10" i="2" s="1"/>
  <c r="I10" i="2" s="1"/>
  <c r="N10" i="2" s="1"/>
  <c r="P10" i="2" s="1"/>
  <c r="F10" i="2"/>
  <c r="O9" i="2"/>
  <c r="I9" i="2"/>
  <c r="N9" i="2" s="1"/>
  <c r="P9" i="2" s="1"/>
  <c r="Q9" i="2" s="1"/>
  <c r="H9" i="2"/>
  <c r="G9" i="2"/>
  <c r="F9" i="2"/>
  <c r="O8" i="2"/>
  <c r="G8" i="2"/>
  <c r="F8" i="2"/>
  <c r="O7" i="2"/>
  <c r="G7" i="2"/>
  <c r="H7" i="2" s="1"/>
  <c r="I7" i="2" s="1"/>
  <c r="N7" i="2" s="1"/>
  <c r="P7" i="2" s="1"/>
  <c r="F7" i="2"/>
  <c r="O6" i="2"/>
  <c r="Q6" i="2" s="1"/>
  <c r="G6" i="2"/>
  <c r="H6" i="2" s="1"/>
  <c r="I6" i="2" s="1"/>
  <c r="N6" i="2" s="1"/>
  <c r="P6" i="2" s="1"/>
  <c r="F6" i="2"/>
  <c r="O5" i="2"/>
  <c r="G5" i="2"/>
  <c r="F5" i="2"/>
  <c r="H5" i="2" s="1"/>
  <c r="I5" i="2" s="1"/>
  <c r="N5" i="2" s="1"/>
  <c r="P5" i="2" s="1"/>
  <c r="O4" i="2"/>
  <c r="H4" i="2"/>
  <c r="I4" i="2" s="1"/>
  <c r="N4" i="2" s="1"/>
  <c r="G4" i="2"/>
  <c r="F4" i="2"/>
  <c r="O3" i="2"/>
  <c r="G3" i="2"/>
  <c r="F3" i="2"/>
  <c r="H3" i="2" s="1"/>
  <c r="I3" i="2" s="1"/>
  <c r="N3" i="2" s="1"/>
  <c r="P3" i="2" s="1"/>
  <c r="O2" i="2"/>
  <c r="G2" i="2"/>
  <c r="F2" i="2"/>
  <c r="H2" i="2" s="1"/>
  <c r="I2" i="2" s="1"/>
  <c r="N2" i="2" s="1"/>
  <c r="P2" i="2" s="1"/>
  <c r="Q76" i="3" l="1"/>
  <c r="Q7" i="3"/>
  <c r="Q19" i="2"/>
  <c r="Q112" i="3"/>
  <c r="R64" i="3"/>
  <c r="S64" i="3" s="1"/>
  <c r="Q64" i="3"/>
  <c r="Q13" i="3"/>
  <c r="Q17" i="2"/>
  <c r="Q12" i="2"/>
  <c r="Q27" i="2"/>
  <c r="Q25" i="3"/>
  <c r="Q55" i="3"/>
  <c r="Q52" i="3"/>
  <c r="Q7" i="2"/>
  <c r="Q127" i="3"/>
  <c r="Q100" i="3"/>
  <c r="Q28" i="3"/>
  <c r="Q37" i="3"/>
  <c r="Q67" i="3"/>
  <c r="Q103" i="3"/>
  <c r="Q5" i="2"/>
  <c r="Q40" i="3"/>
  <c r="Q115" i="3"/>
  <c r="Q136" i="3"/>
  <c r="Q124" i="3"/>
  <c r="Q16" i="3"/>
  <c r="Q15" i="2"/>
  <c r="Q79" i="3"/>
  <c r="Q3" i="2"/>
  <c r="Q24" i="2"/>
  <c r="Q88" i="3"/>
  <c r="Q31" i="3"/>
  <c r="Q19" i="3"/>
  <c r="Q26" i="3"/>
  <c r="Q66" i="3"/>
  <c r="Q118" i="3"/>
  <c r="Q134" i="3"/>
  <c r="Q9" i="3"/>
  <c r="Q21" i="3"/>
  <c r="Q135" i="3"/>
  <c r="Q113" i="3"/>
  <c r="Q129" i="3"/>
  <c r="Q22" i="3"/>
  <c r="P4" i="3"/>
  <c r="Q4" i="3" s="1"/>
  <c r="Q78" i="3"/>
  <c r="Q101" i="3"/>
  <c r="R5" i="3"/>
  <c r="S5" i="3" s="1"/>
  <c r="Q85" i="3"/>
  <c r="Q50" i="3"/>
  <c r="Q39" i="3"/>
  <c r="Q28" i="2"/>
  <c r="Q34" i="3"/>
  <c r="Q68" i="3"/>
  <c r="Q109" i="3"/>
  <c r="Q96" i="3"/>
  <c r="Q56" i="3"/>
  <c r="Q6" i="3"/>
  <c r="Q57" i="3"/>
  <c r="Q62" i="3"/>
  <c r="Q80" i="3"/>
  <c r="Q114" i="3"/>
  <c r="Q120" i="3"/>
  <c r="Q90" i="3"/>
  <c r="Q102" i="3"/>
  <c r="Q15" i="3"/>
  <c r="Q32" i="2"/>
  <c r="Q5" i="3"/>
  <c r="Q33" i="2"/>
  <c r="Q69" i="3"/>
  <c r="Q33" i="3"/>
  <c r="Q81" i="3"/>
  <c r="Q61" i="3"/>
  <c r="Q75" i="3"/>
  <c r="Q10" i="3"/>
  <c r="Q130" i="3"/>
  <c r="Q23" i="2"/>
  <c r="Q97" i="3"/>
  <c r="Q121" i="3"/>
  <c r="Q126" i="3"/>
  <c r="Q111" i="3"/>
  <c r="Q82" i="3"/>
  <c r="Q116" i="3"/>
  <c r="Q38" i="3"/>
  <c r="Q73" i="3"/>
  <c r="Q132" i="3"/>
  <c r="Q74" i="3"/>
  <c r="Q12" i="3"/>
  <c r="Q11" i="2"/>
  <c r="Q29" i="2"/>
  <c r="Q110" i="3"/>
  <c r="Q70" i="3"/>
  <c r="Q2" i="3"/>
  <c r="Q8" i="3"/>
  <c r="Q94" i="3"/>
  <c r="H8" i="2"/>
  <c r="I8" i="2" s="1"/>
  <c r="N8" i="2" s="1"/>
  <c r="P8" i="2" s="1"/>
  <c r="H26" i="2"/>
  <c r="I26" i="2" s="1"/>
  <c r="N26" i="2" s="1"/>
  <c r="P26" i="2" s="1"/>
  <c r="Q26" i="2" s="1"/>
  <c r="Q42" i="3"/>
  <c r="Q48" i="3"/>
  <c r="Q53" i="3"/>
  <c r="Q138" i="3"/>
  <c r="Q44" i="3"/>
  <c r="Q108" i="3"/>
  <c r="Q2" i="2"/>
  <c r="Q16" i="2"/>
  <c r="Q41" i="3"/>
  <c r="Q105" i="3"/>
  <c r="Q30" i="2"/>
  <c r="Q36" i="3"/>
  <c r="Q133" i="3"/>
  <c r="Q21" i="2"/>
  <c r="P20" i="3"/>
  <c r="Q106" i="3"/>
  <c r="Q122" i="3"/>
  <c r="Q17" i="3"/>
  <c r="Q63" i="3"/>
  <c r="Q98" i="3"/>
  <c r="Q20" i="2"/>
  <c r="Q99" i="3"/>
  <c r="Q18" i="3"/>
  <c r="Q30" i="3"/>
  <c r="Q25" i="2"/>
  <c r="P4" i="2"/>
  <c r="Q3" i="3"/>
  <c r="Q117" i="3"/>
  <c r="Q123" i="3"/>
  <c r="Q18" i="2"/>
  <c r="Q22" i="2"/>
  <c r="Q91" i="3"/>
  <c r="Q125" i="3"/>
  <c r="Q86" i="3"/>
  <c r="Q58" i="3"/>
  <c r="Q87" i="3"/>
  <c r="Q29" i="3"/>
  <c r="Q93" i="3"/>
  <c r="Q24" i="3"/>
  <c r="Q139" i="3"/>
  <c r="Q14" i="2"/>
  <c r="Q45" i="3"/>
  <c r="Q10" i="2"/>
  <c r="Q51" i="3"/>
  <c r="Q104" i="3"/>
  <c r="Q137" i="3"/>
  <c r="Q4" i="2"/>
  <c r="Q20" i="3"/>
  <c r="P32" i="3"/>
  <c r="Q43" i="3"/>
  <c r="Q14" i="3"/>
  <c r="Q49" i="3"/>
  <c r="H66" i="3"/>
  <c r="I66" i="3" s="1"/>
  <c r="N66" i="3" s="1"/>
  <c r="P66" i="3" s="1"/>
  <c r="Q77" i="3"/>
  <c r="R25" i="3" l="1"/>
  <c r="S25" i="3" s="1"/>
  <c r="R41" i="3"/>
  <c r="S41" i="3" s="1"/>
  <c r="R56" i="3"/>
  <c r="S56" i="3" s="1"/>
  <c r="R126" i="3"/>
  <c r="S126" i="3" s="1"/>
  <c r="R115" i="3"/>
  <c r="S115" i="3" s="1"/>
  <c r="R110" i="3"/>
  <c r="S110" i="3" s="1"/>
  <c r="R11" i="2"/>
  <c r="S11" i="2" s="1"/>
  <c r="R24" i="3"/>
  <c r="S24" i="3" s="1"/>
  <c r="R74" i="3"/>
  <c r="S74" i="3" s="1"/>
  <c r="R29" i="3"/>
  <c r="S29" i="3" s="1"/>
  <c r="R113" i="3"/>
  <c r="S113" i="3" s="1"/>
  <c r="R108" i="3"/>
  <c r="S108" i="3" s="1"/>
  <c r="R137" i="3"/>
  <c r="S137" i="3" s="1"/>
  <c r="R45" i="3"/>
  <c r="S45" i="3" s="1"/>
  <c r="R129" i="3"/>
  <c r="S129" i="3" s="1"/>
  <c r="R15" i="3"/>
  <c r="S15" i="3" s="1"/>
  <c r="R139" i="3"/>
  <c r="S139" i="3" s="1"/>
  <c r="R127" i="3"/>
  <c r="S127" i="3" s="1"/>
  <c r="R134" i="3"/>
  <c r="S134" i="3" s="1"/>
  <c r="R73" i="3"/>
  <c r="S73" i="3" s="1"/>
  <c r="R26" i="3"/>
  <c r="S26" i="3" s="1"/>
  <c r="R13" i="3"/>
  <c r="S13" i="3" s="1"/>
  <c r="R121" i="3"/>
  <c r="S121" i="3" s="1"/>
  <c r="R44" i="3"/>
  <c r="S44" i="3" s="1"/>
  <c r="R48" i="3"/>
  <c r="S48" i="3" s="1"/>
  <c r="R10" i="3"/>
  <c r="S10" i="3" s="1"/>
  <c r="R16" i="3"/>
  <c r="S16" i="3" s="1"/>
  <c r="R7" i="3"/>
  <c r="S7" i="3" s="1"/>
  <c r="R85" i="3"/>
  <c r="S85" i="3" s="1"/>
  <c r="R22" i="3"/>
  <c r="S22" i="3" s="1"/>
  <c r="R76" i="3"/>
  <c r="S76" i="3" s="1"/>
  <c r="R62" i="3"/>
  <c r="S62" i="3" s="1"/>
  <c r="R34" i="3"/>
  <c r="S34" i="3" s="1"/>
  <c r="R75" i="3"/>
  <c r="S75" i="3" s="1"/>
  <c r="R81" i="3"/>
  <c r="S81" i="3" s="1"/>
  <c r="R71" i="3"/>
  <c r="S71" i="3" s="1"/>
  <c r="R105" i="3"/>
  <c r="S105" i="3" s="1"/>
  <c r="R57" i="3"/>
  <c r="S57" i="3" s="1"/>
  <c r="R47" i="3"/>
  <c r="S47" i="3" s="1"/>
  <c r="R10" i="2"/>
  <c r="S10" i="2" s="1"/>
  <c r="R52" i="3"/>
  <c r="S52" i="3" s="1"/>
  <c r="R111" i="3"/>
  <c r="S111" i="3" s="1"/>
  <c r="R17" i="3"/>
  <c r="S17" i="3" s="1"/>
  <c r="R65" i="3"/>
  <c r="S65" i="3" s="1"/>
  <c r="R32" i="2"/>
  <c r="S32" i="2" s="1"/>
  <c r="R21" i="3"/>
  <c r="S21" i="3" s="1"/>
  <c r="R87" i="3"/>
  <c r="S87" i="3" s="1"/>
  <c r="R9" i="2"/>
  <c r="S9" i="2" s="1"/>
  <c r="R2" i="3"/>
  <c r="S2" i="3" s="1"/>
  <c r="R82" i="3"/>
  <c r="S82" i="3" s="1"/>
  <c r="R86" i="3"/>
  <c r="S86" i="3" s="1"/>
  <c r="R59" i="3"/>
  <c r="S59" i="3" s="1"/>
  <c r="R28" i="2"/>
  <c r="S28" i="2" s="1"/>
  <c r="R125" i="3"/>
  <c r="S125" i="3" s="1"/>
  <c r="R69" i="3"/>
  <c r="S69" i="3" s="1"/>
  <c r="R120" i="3"/>
  <c r="S120" i="3" s="1"/>
  <c r="R38" i="3"/>
  <c r="S38" i="3" s="1"/>
  <c r="R117" i="3"/>
  <c r="S117" i="3" s="1"/>
  <c r="R119" i="3"/>
  <c r="S119" i="3" s="1"/>
  <c r="Q32" i="3"/>
  <c r="R100" i="3" s="1"/>
  <c r="S100" i="3" s="1"/>
  <c r="R122" i="3"/>
  <c r="S122" i="3" s="1"/>
  <c r="Q8" i="2"/>
  <c r="R46" i="3"/>
  <c r="S46" i="3" s="1"/>
  <c r="R2" i="2"/>
  <c r="S2" i="2" s="1"/>
  <c r="R30" i="3"/>
  <c r="S30" i="3" s="1"/>
  <c r="R3" i="2"/>
  <c r="S3" i="2" s="1"/>
  <c r="R42" i="3"/>
  <c r="S42" i="3" s="1"/>
  <c r="R114" i="3"/>
  <c r="S114" i="3" s="1"/>
  <c r="R67" i="3" l="1"/>
  <c r="S67" i="3" s="1"/>
  <c r="R68" i="3"/>
  <c r="S68" i="3" s="1"/>
  <c r="R7" i="2"/>
  <c r="S7" i="2" s="1"/>
  <c r="R33" i="2"/>
  <c r="S33" i="2" s="1"/>
  <c r="R5" i="2"/>
  <c r="S5" i="2" s="1"/>
  <c r="R12" i="2"/>
  <c r="S12" i="2" s="1"/>
  <c r="R22" i="2"/>
  <c r="S22" i="2" s="1"/>
  <c r="R23" i="2"/>
  <c r="S23" i="2" s="1"/>
  <c r="R99" i="3"/>
  <c r="S99" i="3" s="1"/>
  <c r="R33" i="3"/>
  <c r="S33" i="3" s="1"/>
  <c r="R138" i="3"/>
  <c r="S138" i="3" s="1"/>
  <c r="R28" i="3"/>
  <c r="S28" i="3" s="1"/>
  <c r="R43" i="3"/>
  <c r="S43" i="3" s="1"/>
  <c r="R70" i="3"/>
  <c r="S70" i="3" s="1"/>
  <c r="R92" i="3"/>
  <c r="S92" i="3" s="1"/>
  <c r="R103" i="3"/>
  <c r="S103" i="3" s="1"/>
  <c r="R20" i="3"/>
  <c r="S20" i="3" s="1"/>
  <c r="R51" i="3"/>
  <c r="S51" i="3" s="1"/>
  <c r="R16" i="2"/>
  <c r="S16" i="2" s="1"/>
  <c r="R112" i="3"/>
  <c r="S112" i="3" s="1"/>
  <c r="R60" i="3"/>
  <c r="S60" i="3" s="1"/>
  <c r="R18" i="3"/>
  <c r="S18" i="3" s="1"/>
  <c r="R8" i="2"/>
  <c r="S8" i="2" s="1"/>
  <c r="R93" i="3"/>
  <c r="S93" i="3" s="1"/>
  <c r="R77" i="3"/>
  <c r="S77" i="3" s="1"/>
  <c r="R18" i="2"/>
  <c r="S18" i="2" s="1"/>
  <c r="R133" i="3"/>
  <c r="S133" i="3" s="1"/>
  <c r="R21" i="2"/>
  <c r="S21" i="2" s="1"/>
  <c r="R106" i="3"/>
  <c r="S106" i="3" s="1"/>
  <c r="R124" i="3"/>
  <c r="S124" i="3" s="1"/>
  <c r="R101" i="3"/>
  <c r="S101" i="3" s="1"/>
  <c r="R40" i="3"/>
  <c r="S40" i="3" s="1"/>
  <c r="R136" i="3"/>
  <c r="S136" i="3" s="1"/>
  <c r="R53" i="3"/>
  <c r="S53" i="3" s="1"/>
  <c r="R49" i="3"/>
  <c r="S49" i="3" s="1"/>
  <c r="R3" i="3"/>
  <c r="S3" i="3" s="1"/>
  <c r="R37" i="3"/>
  <c r="S37" i="3" s="1"/>
  <c r="R50" i="3"/>
  <c r="S50" i="3" s="1"/>
  <c r="R132" i="3"/>
  <c r="S132" i="3" s="1"/>
  <c r="R97" i="3"/>
  <c r="S97" i="3" s="1"/>
  <c r="R23" i="3"/>
  <c r="S23" i="3" s="1"/>
  <c r="R123" i="3"/>
  <c r="S123" i="3" s="1"/>
  <c r="R91" i="3"/>
  <c r="S91" i="3" s="1"/>
  <c r="R12" i="3"/>
  <c r="S12" i="3" s="1"/>
  <c r="R109" i="3"/>
  <c r="S109" i="3" s="1"/>
  <c r="R104" i="3"/>
  <c r="S104" i="3" s="1"/>
  <c r="R4" i="2"/>
  <c r="S4" i="2" s="1"/>
  <c r="R6" i="2"/>
  <c r="S6" i="2" s="1"/>
  <c r="R19" i="2"/>
  <c r="S19" i="2" s="1"/>
  <c r="R32" i="3"/>
  <c r="S32" i="3" s="1"/>
  <c r="R11" i="3"/>
  <c r="S11" i="3" s="1"/>
  <c r="R9" i="3"/>
  <c r="S9" i="3" s="1"/>
  <c r="R89" i="3"/>
  <c r="S89" i="3" s="1"/>
  <c r="R31" i="2"/>
  <c r="S31" i="2" s="1"/>
  <c r="R95" i="3"/>
  <c r="S95" i="3" s="1"/>
  <c r="R36" i="3"/>
  <c r="S36" i="3" s="1"/>
  <c r="R135" i="3"/>
  <c r="S135" i="3" s="1"/>
  <c r="R14" i="3"/>
  <c r="S14" i="3" s="1"/>
  <c r="R19" i="3"/>
  <c r="S19" i="3" s="1"/>
  <c r="R63" i="3"/>
  <c r="S63" i="3" s="1"/>
  <c r="R17" i="2"/>
  <c r="S17" i="2" s="1"/>
  <c r="R72" i="3"/>
  <c r="S72" i="3" s="1"/>
  <c r="R35" i="3"/>
  <c r="S35" i="3" s="1"/>
  <c r="R14" i="2"/>
  <c r="S14" i="2" s="1"/>
  <c r="R90" i="3"/>
  <c r="S90" i="3" s="1"/>
  <c r="R79" i="3"/>
  <c r="S79" i="3" s="1"/>
  <c r="R26" i="2"/>
  <c r="S26" i="2" s="1"/>
  <c r="R118" i="3"/>
  <c r="S118" i="3" s="1"/>
  <c r="R83" i="3"/>
  <c r="S83" i="3" s="1"/>
  <c r="R96" i="3"/>
  <c r="S96" i="3" s="1"/>
  <c r="R66" i="3"/>
  <c r="S66" i="3" s="1"/>
  <c r="R27" i="3"/>
  <c r="S27" i="3" s="1"/>
  <c r="R84" i="3"/>
  <c r="S84" i="3" s="1"/>
  <c r="R39" i="3"/>
  <c r="S39" i="3" s="1"/>
  <c r="R29" i="2"/>
  <c r="S29" i="2" s="1"/>
  <c r="R24" i="2"/>
  <c r="S24" i="2" s="1"/>
  <c r="R6" i="3"/>
  <c r="S6" i="3" s="1"/>
  <c r="R78" i="3"/>
  <c r="S78" i="3" s="1"/>
  <c r="R13" i="2"/>
  <c r="S13" i="2" s="1"/>
  <c r="R25" i="2"/>
  <c r="S25" i="2" s="1"/>
  <c r="R15" i="2"/>
  <c r="S15" i="2" s="1"/>
  <c r="R31" i="3"/>
  <c r="S31" i="3" s="1"/>
  <c r="R116" i="3"/>
  <c r="S116" i="3" s="1"/>
  <c r="R61" i="3"/>
  <c r="S61" i="3" s="1"/>
  <c r="R98" i="3"/>
  <c r="S98" i="3" s="1"/>
  <c r="R102" i="3"/>
  <c r="S102" i="3" s="1"/>
  <c r="R128" i="3"/>
  <c r="S128" i="3" s="1"/>
  <c r="R88" i="3"/>
  <c r="S88" i="3" s="1"/>
  <c r="R27" i="2"/>
  <c r="S27" i="2" s="1"/>
  <c r="R131" i="3"/>
  <c r="S131" i="3" s="1"/>
  <c r="R130" i="3"/>
  <c r="S130" i="3" s="1"/>
  <c r="R107" i="3"/>
  <c r="S107" i="3" s="1"/>
  <c r="R4" i="3"/>
  <c r="S4" i="3" s="1"/>
  <c r="R80" i="3"/>
  <c r="S80" i="3" s="1"/>
  <c r="R8" i="3"/>
  <c r="S8" i="3" s="1"/>
  <c r="R58" i="3"/>
  <c r="S58" i="3" s="1"/>
  <c r="R94" i="3"/>
  <c r="S94" i="3" s="1"/>
  <c r="R54" i="3"/>
  <c r="S54" i="3" s="1"/>
  <c r="R20" i="2"/>
  <c r="S20" i="2" s="1"/>
  <c r="R30" i="2"/>
  <c r="S30" i="2" s="1"/>
  <c r="R55" i="3"/>
  <c r="S55" i="3" s="1"/>
</calcChain>
</file>

<file path=xl/sharedStrings.xml><?xml version="1.0" encoding="utf-8"?>
<sst xmlns="http://schemas.openxmlformats.org/spreadsheetml/2006/main" count="449" uniqueCount="278">
  <si>
    <t>Parameter</t>
  </si>
  <si>
    <t>Value</t>
  </si>
  <si>
    <t>Notes</t>
  </si>
  <si>
    <t>Win payment ($/share)</t>
  </si>
  <si>
    <t>SDMM-1 game settlement accrual: win</t>
  </si>
  <si>
    <t>Tie payment ($/share)</t>
  </si>
  <si>
    <t>SDMM-1 game settlement accrual: tie (NFL only)</t>
  </si>
  <si>
    <t>Off-field pool ($/game)</t>
  </si>
  <si>
    <t>Split pro rata by counted share volume (Spec v1.1); full pool vs non-universe opponent (Spec v1.2)</t>
  </si>
  <si>
    <t>Sigma — NFL season wins</t>
  </si>
  <si>
    <t>SD of 17-game win distribution around the market total</t>
  </si>
  <si>
    <t>Sigma — NCAA season wins</t>
  </si>
  <si>
    <t>SD of 12-game win distribution around the market total</t>
  </si>
  <si>
    <t>Expected NFL ties/team</t>
  </si>
  <si>
    <t>~1-2 ties league-wide per season</t>
  </si>
  <si>
    <t>NFL games</t>
  </si>
  <si>
    <t>Regular season only (Spec v1.2)</t>
  </si>
  <si>
    <t>NCAA games</t>
  </si>
  <si>
    <t>IPO price tick ($)</t>
  </si>
  <si>
    <t>Rounding increment for listed IPO price — penny tick per IPO mechanics decision</t>
  </si>
  <si>
    <t>Capture clamp low</t>
  </si>
  <si>
    <t>Per-game volume capture floor (Popularity Index spec)</t>
  </si>
  <si>
    <t>Capture clamp high</t>
  </si>
  <si>
    <t>Per-game volume capture ceiling</t>
  </si>
  <si>
    <t>Brand weight (popularity)</t>
  </si>
  <si>
    <t>Pop = 0.6*Brand + 0.4*PerfIndex — engine.py input</t>
  </si>
  <si>
    <t>Performance weight</t>
  </si>
  <si>
    <t>PerfIndex = 100*E[Wins]/Games — engine.py input</t>
  </si>
  <si>
    <t>Bradley-Terry gamma</t>
  </si>
  <si>
    <t>Capture concentration exponent — engine.py input</t>
  </si>
  <si>
    <t>IPO discount min</t>
  </si>
  <si>
    <t>Variable underpricing band lower bound — applied to lowest-uncertainty names</t>
  </si>
  <si>
    <t>IPO discount max</t>
  </si>
  <si>
    <t>Band upper bound — applied to highest-uncertainty names. Discount_i = min + (max-min) x normalized contested off-field EV share (per league); the contested off-field leg is the model-driven part, so it proxies pricing uncertainty</t>
  </si>
  <si>
    <t>No-discount guaranteed threshold</t>
  </si>
  <si>
    <t>Names whose guaranteed accrual (OOU games x pool) exceeds this share of EV list at full EV — no discount on near-riskless value (catches North Dakota State and Sacramento State)</t>
  </si>
  <si>
    <t>Legend: yellow/blue cells are tunable inputs. Rows 2-12 and 16-18 flow live into the NFL IPO / NCAA IPO formulas. Rows 13-15 are engine.py inputs — changing them requires rerunning engine.py to refresh Brand/Popularity/Avg Capture columns.</t>
  </si>
  <si>
    <t>Example: set B2 to 6.00 or the discount band in B16:B17 and both IPO tabs reprice instantly.</t>
  </si>
  <si>
    <t>Team</t>
  </si>
  <si>
    <t>Conf/Div</t>
  </si>
  <si>
    <t>Win Total</t>
  </si>
  <si>
    <t>Over</t>
  </si>
  <si>
    <t>Under</t>
  </si>
  <si>
    <t>Imp P(Over)</t>
  </si>
  <si>
    <t>Imp P(Under)</t>
  </si>
  <si>
    <t>P(Over) devig</t>
  </si>
  <si>
    <t>E[Wins]</t>
  </si>
  <si>
    <t>Brand</t>
  </si>
  <si>
    <t>Popularity</t>
  </si>
  <si>
    <t>Avg Capture</t>
  </si>
  <si>
    <t>OOU Games</t>
  </si>
  <si>
    <t>On-Field EV</t>
  </si>
  <si>
    <t>Off-Field EV</t>
  </si>
  <si>
    <t>IPO EV</t>
  </si>
  <si>
    <t>Contested Off-Field %</t>
  </si>
  <si>
    <t>Discount</t>
  </si>
  <si>
    <t>Listed IPO</t>
  </si>
  <si>
    <t>Los Angeles Rams</t>
  </si>
  <si>
    <t>NFC West</t>
  </si>
  <si>
    <t>Baltimore Ravens</t>
  </si>
  <si>
    <t>AFC North</t>
  </si>
  <si>
    <t>Buffalo Bills</t>
  </si>
  <si>
    <t>AFC East</t>
  </si>
  <si>
    <t>Detroit Lions</t>
  </si>
  <si>
    <t>NFC North</t>
  </si>
  <si>
    <t>Seattle Seahawks</t>
  </si>
  <si>
    <t>San Francisco 49ers</t>
  </si>
  <si>
    <t>Kansas City Chiefs</t>
  </si>
  <si>
    <t>AFC West</t>
  </si>
  <si>
    <t>Philadelphia Eagles</t>
  </si>
  <si>
    <t>NFC East</t>
  </si>
  <si>
    <t>New England Patriots</t>
  </si>
  <si>
    <t>Cincinnati Bengals</t>
  </si>
  <si>
    <t>Green Bay Packers</t>
  </si>
  <si>
    <t>Dallas Cowboys</t>
  </si>
  <si>
    <t>Denver Broncos</t>
  </si>
  <si>
    <t>Houston Texans</t>
  </si>
  <si>
    <t>AFC South</t>
  </si>
  <si>
    <t>Los Angeles Chargers</t>
  </si>
  <si>
    <t>Chicago Bears</t>
  </si>
  <si>
    <t>Jacksonville Jaguars</t>
  </si>
  <si>
    <t>Minnesota Vikings</t>
  </si>
  <si>
    <t>Pittsburgh Steelers</t>
  </si>
  <si>
    <t>Tampa Bay Buccaneers</t>
  </si>
  <si>
    <t>NFC South</t>
  </si>
  <si>
    <t>New Orleans Saints</t>
  </si>
  <si>
    <t>Indianapolis Colts</t>
  </si>
  <si>
    <t>New York Giants</t>
  </si>
  <si>
    <t>Washington Commanders</t>
  </si>
  <si>
    <t>Atlanta Falcons</t>
  </si>
  <si>
    <t>Carolina Panthers</t>
  </si>
  <si>
    <t>Tennessee Titans</t>
  </si>
  <si>
    <t>Las Vegas Raiders</t>
  </si>
  <si>
    <t>Cleveland Browns</t>
  </si>
  <si>
    <t>New York Jets</t>
  </si>
  <si>
    <t>Miami Dolphins</t>
  </si>
  <si>
    <t>Arizona Cardinals</t>
  </si>
  <si>
    <t>Blue cells = inputs (odds, brand/popularity/capture from engine.py). Black = live formulas driven by the Parameters tab.</t>
  </si>
  <si>
    <t>Texas Tech</t>
  </si>
  <si>
    <t>Big 12</t>
  </si>
  <si>
    <t>Notre Dame</t>
  </si>
  <si>
    <t>Independent</t>
  </si>
  <si>
    <t>Miami Florida</t>
  </si>
  <si>
    <t>ACC</t>
  </si>
  <si>
    <t>North Dakota State</t>
  </si>
  <si>
    <t>FCS-Universe</t>
  </si>
  <si>
    <t>Ohio State</t>
  </si>
  <si>
    <t>Big Ten</t>
  </si>
  <si>
    <t>Georgia</t>
  </si>
  <si>
    <t>SEC</t>
  </si>
  <si>
    <t>Oregon</t>
  </si>
  <si>
    <t>Indiana</t>
  </si>
  <si>
    <t>Texas</t>
  </si>
  <si>
    <t>Penn State</t>
  </si>
  <si>
    <t>BYU</t>
  </si>
  <si>
    <t>Alabama</t>
  </si>
  <si>
    <t>James Madison</t>
  </si>
  <si>
    <t>Sun Belt</t>
  </si>
  <si>
    <t>SMU</t>
  </si>
  <si>
    <t>Utah</t>
  </si>
  <si>
    <t>LSU</t>
  </si>
  <si>
    <t>Navy</t>
  </si>
  <si>
    <t>AAC</t>
  </si>
  <si>
    <t>Texas A&amp;M</t>
  </si>
  <si>
    <t>Liberty</t>
  </si>
  <si>
    <t>CUSA</t>
  </si>
  <si>
    <t>Kansas State</t>
  </si>
  <si>
    <t>USC</t>
  </si>
  <si>
    <t>South Florida</t>
  </si>
  <si>
    <t>UNLV</t>
  </si>
  <si>
    <t>Mountain West</t>
  </si>
  <si>
    <t>Michigan</t>
  </si>
  <si>
    <t>Boise State</t>
  </si>
  <si>
    <t>Pac-12</t>
  </si>
  <si>
    <t>Clemson</t>
  </si>
  <si>
    <t>Louisville</t>
  </si>
  <si>
    <t>New Mexico</t>
  </si>
  <si>
    <t>Army</t>
  </si>
  <si>
    <t>Ole Miss</t>
  </si>
  <si>
    <t>Washington</t>
  </si>
  <si>
    <t>Oklahoma</t>
  </si>
  <si>
    <t>Houston</t>
  </si>
  <si>
    <t>Toledo</t>
  </si>
  <si>
    <t>MAC</t>
  </si>
  <si>
    <t>Iowa</t>
  </si>
  <si>
    <t>Pittsburgh</t>
  </si>
  <si>
    <t>Virginia</t>
  </si>
  <si>
    <t>Tennessee</t>
  </si>
  <si>
    <t>Memphis</t>
  </si>
  <si>
    <t>UTSA</t>
  </si>
  <si>
    <t>Old Dominion</t>
  </si>
  <si>
    <t>Hawaii</t>
  </si>
  <si>
    <t>North Carolina State</t>
  </si>
  <si>
    <t>Marshall</t>
  </si>
  <si>
    <t>Jacksonville State</t>
  </si>
  <si>
    <t>Miami Ohio</t>
  </si>
  <si>
    <t>Tulane</t>
  </si>
  <si>
    <t>Air Force</t>
  </si>
  <si>
    <t>Louisiana</t>
  </si>
  <si>
    <t>East Carolina</t>
  </si>
  <si>
    <t>Florida</t>
  </si>
  <si>
    <t>Arizona</t>
  </si>
  <si>
    <t>Western Kentucky</t>
  </si>
  <si>
    <t>Western Michigan</t>
  </si>
  <si>
    <t>Virginia Tech</t>
  </si>
  <si>
    <t>Fresno State</t>
  </si>
  <si>
    <t>Ohio</t>
  </si>
  <si>
    <t>Troy</t>
  </si>
  <si>
    <t>TCU</t>
  </si>
  <si>
    <t>Illinois</t>
  </si>
  <si>
    <t>San Diego State</t>
  </si>
  <si>
    <t>Wisconsin</t>
  </si>
  <si>
    <t>Sacramento State</t>
  </si>
  <si>
    <t>Auburn</t>
  </si>
  <si>
    <t>Arizona State</t>
  </si>
  <si>
    <t>Missouri</t>
  </si>
  <si>
    <t>Georgia Tech</t>
  </si>
  <si>
    <t>Nebraska</t>
  </si>
  <si>
    <t>Central Michigan</t>
  </si>
  <si>
    <t>Florida State</t>
  </si>
  <si>
    <t>UCLA</t>
  </si>
  <si>
    <t>Appalachian State</t>
  </si>
  <si>
    <t>South Carolina</t>
  </si>
  <si>
    <t>West Virginia</t>
  </si>
  <si>
    <t>Arkansas State</t>
  </si>
  <si>
    <t>Oklahoma State</t>
  </si>
  <si>
    <t>Florida International</t>
  </si>
  <si>
    <t>Kennesaw State</t>
  </si>
  <si>
    <t>California</t>
  </si>
  <si>
    <t>Delaware</t>
  </si>
  <si>
    <t>Minnesota</t>
  </si>
  <si>
    <t>Buffalo</t>
  </si>
  <si>
    <t>Louisiana Tech</t>
  </si>
  <si>
    <t>Kansas</t>
  </si>
  <si>
    <t>Texas State</t>
  </si>
  <si>
    <t>UCF</t>
  </si>
  <si>
    <t>Eastern Michigan</t>
  </si>
  <si>
    <t>Florida Atlantic</t>
  </si>
  <si>
    <t>South Alabama</t>
  </si>
  <si>
    <t>Baylor</t>
  </si>
  <si>
    <t>North Texas</t>
  </si>
  <si>
    <t>Duke</t>
  </si>
  <si>
    <t>Vanderbilt</t>
  </si>
  <si>
    <t>Wyoming</t>
  </si>
  <si>
    <t>Connecticut</t>
  </si>
  <si>
    <t>Wake Forest</t>
  </si>
  <si>
    <t>Washington State</t>
  </si>
  <si>
    <t>Tulsa</t>
  </si>
  <si>
    <t>Temple</t>
  </si>
  <si>
    <t>Northwestern</t>
  </si>
  <si>
    <t>Maryland</t>
  </si>
  <si>
    <t>Cincinnati</t>
  </si>
  <si>
    <t>North Carolina</t>
  </si>
  <si>
    <t>Bowling Green</t>
  </si>
  <si>
    <t>Georgia Southern</t>
  </si>
  <si>
    <t>Coastal Carolina</t>
  </si>
  <si>
    <t>San Jose State</t>
  </si>
  <si>
    <t>Kentucky</t>
  </si>
  <si>
    <t>Iowa State</t>
  </si>
  <si>
    <t>Utah State</t>
  </si>
  <si>
    <t>Rutgers</t>
  </si>
  <si>
    <t>Syracuse</t>
  </si>
  <si>
    <t>Akron</t>
  </si>
  <si>
    <t>Mississippi State</t>
  </si>
  <si>
    <t>New Mexico State</t>
  </si>
  <si>
    <t>Colorado</t>
  </si>
  <si>
    <t>Michigan State</t>
  </si>
  <si>
    <t>Nevada</t>
  </si>
  <si>
    <t>Arkansas</t>
  </si>
  <si>
    <t>Oregon State</t>
  </si>
  <si>
    <t>Middle Tennessee</t>
  </si>
  <si>
    <t>Missouri State</t>
  </si>
  <si>
    <t>Colorado State</t>
  </si>
  <si>
    <t>Stanford</t>
  </si>
  <si>
    <t>Georgia State</t>
  </si>
  <si>
    <t>Southern Mississippi</t>
  </si>
  <si>
    <t>Ball State</t>
  </si>
  <si>
    <t>UL Monroe</t>
  </si>
  <si>
    <t>UAB</t>
  </si>
  <si>
    <t>Northern Illinois</t>
  </si>
  <si>
    <t>Rice</t>
  </si>
  <si>
    <t>Kent State</t>
  </si>
  <si>
    <t>Purdue</t>
  </si>
  <si>
    <t>UTEP</t>
  </si>
  <si>
    <t>Sam Houston State</t>
  </si>
  <si>
    <t>Boston College</t>
  </si>
  <si>
    <t>Massachusetts</t>
  </si>
  <si>
    <t>Charlotte</t>
  </si>
  <si>
    <t>InPlay Football Trading Challenge — IPO Pricing System v1.0</t>
  </si>
  <si>
    <t>IPO price = expected terminal (liquidating) distribution per share:</t>
  </si>
  <si>
    <t xml:space="preserve">   IPO = $5.00 x E[Wins]  +  $2.50 x E[Ties] (NFL only)  +  $2.50/game x E[Volume Capture Share]</t>
  </si>
  <si>
    <t>Per SDMM-1 retained-earnings accrual and Consolidated Novosapien Spec v1.1-v1.3: off-field pool splits</t>
  </si>
  <si>
    <t>pro rata by counted share volume, capture clamped to [0.20, 0.80]; games vs non-universe opponents pay</t>
  </si>
  <si>
    <t>the universe team the full $2.50; regular season only.</t>
  </si>
  <si>
    <t>ON-FIELD: BetMGM season win-total prices are devigged proportionally to P(over). Season wins are modeled</t>
  </si>
  <si>
    <t>Normal(mu, sigma) around the posted line; mu = line + sigma * InvNorm(P_over). Sigma is the market-implied</t>
  </si>
  <si>
    <t>dispersion of season wins (NFL 2.7, NCAA 2.2 — Parameters tab).</t>
  </si>
  <si>
    <t>OFF-FIELD (Popularity Index at IPO): Pop = 0.6 x Brand + 0.4 x PerfIndex, where Brand is a hand-assigned</t>
  </si>
  <si>
    <t>0-100 fanbase/brand tier (Base Demand Index proxy — no realized volume exists at IPO) and PerfIndex =</t>
  </si>
  <si>
    <t>100 x E[Wins]/Games (traders gravitate to winners). Expected per-game capture vs opponent j is Bradley-Terry:</t>
  </si>
  <si>
    <t>Pop_i / (Pop_i + Pop_j), clamped to [0.20, 0.80]. Season capture uses a schedule approximation: NFL = 6 games</t>
  </si>
  <si>
    <t>vs actual division rivals + 11 vs the uniform non-division field; NCAA = ~9 (P4) / ~8 (G5) games vs uniform</t>
  </si>
  <si>
    <t>conference mates, remainder vs the uniform national field. engine.py accepts an exact 2026 schedule CSV</t>
  </si>
  <si>
    <t>(team,opponent) that overrides the approximation — supply it before final pricing.</t>
  </si>
  <si>
    <t>KEY FLAGS</t>
  </si>
  <si>
    <t>1) North Dakota State prices 4th-highest in NCAA (~$71) almost entirely from the non-universe rule: ~10 of its</t>
  </si>
  <si>
    <t xml:space="preserve">   games are vs out-of-universe FCS opponents, each worth the full $2.50 uncontested (~$25 of guaranteed</t>
  </si>
  <si>
    <t xml:space="preserve">   off-field accrual), plus $5/win vs FCS competition. Same dynamic, smaller, for Sacramento State. If that</t>
  </si>
  <si>
    <t xml:space="preserve">   pricing outcome is not intended, options: (a) discount OOU games to a fixed capture (e.g. 50%), (b) scale</t>
  </si>
  <si>
    <t xml:space="preserve">   win payments by opponent tier, or (c) accept it and let the market fade the name.</t>
  </si>
  <si>
    <t>2) Out-of-universe game counts default to 1 per FBS team (0 for Notre Dame/USC/UCLA; 10 for NDSU/Sac State).</t>
  </si>
  <si>
    <t xml:space="preserve">   Replace with actual 2026 schedule counts — this moves each NCAA IPO by up to ~$1-2.</t>
  </si>
  <si>
    <t>3) Brand scores are judgment inputs. They drive only the off-field leg, which is capped by the clamp at</t>
  </si>
  <si>
    <t xml:space="preserve">   $0.50-$2.00/game, so IPO sensitivity to any single brand score is modest (&lt; ~$4 end to end).</t>
  </si>
  <si>
    <t>4) Win totals are the market's number, vig-adjusted — no house view is layered on. If InPlay wants margin in</t>
  </si>
  <si>
    <t xml:space="preserve">   the IPO (issue rich), apply a uniform markup rather than distorting relative prices.</t>
  </si>
  <si>
    <t>5) NFL ceiling check: max possible per share = 17 x $5 + 17 x $2.00 = $119.00; max NCAA (12 in-universe games)</t>
  </si>
  <si>
    <t xml:space="preserve">   = 12 x $5 + 12 x $2.00 = $84.00. All IPOs price well inside their ceilings.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</si>
</sst>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\$#,##0.00"/>
  </numFmts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sz val="11"/>
      <color rgb="FF0000FF"/>
      <name val="Arial"/>
      <charset val="1"/>
    </font>
    <font>
      <b/>
      <sz val="1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0" xfId="0" applyFont="1" applyFill="1"/>
    <xf numFmtId="0" fontId="3" fillId="0" borderId="0" xfId="0" applyFont="1"/>
    <xf numFmtId="164" fontId="3" fillId="3" borderId="0" xfId="0" applyNumberFormat="1" applyFont="1" applyFill="1"/>
    <xf numFmtId="0" fontId="4" fillId="0" borderId="0" xfId="0" applyFont="1"/>
    <xf numFmtId="0" fontId="1" fillId="2" borderId="0" xfId="0" applyFont="1" applyFill="1" applyAlignment="1">
      <alignment horizontal="center" wrapText="1"/>
    </xf>
    <xf numFmtId="0" fontId="2" fillId="0" borderId="1" xfId="0" applyFont="1" applyBorder="1"/>
    <xf numFmtId="165" fontId="3" fillId="0" borderId="1" xfId="0" applyNumberFormat="1" applyFont="1" applyBorder="1"/>
    <xf numFmtId="0" fontId="3" fillId="0" borderId="1" xfId="0" applyFont="1" applyBorder="1"/>
    <xf numFmtId="164" fontId="2" fillId="0" borderId="1" xfId="0" applyNumberFormat="1" applyFont="1" applyBorder="1"/>
    <xf numFmtId="2" fontId="2" fillId="0" borderId="1" xfId="0" applyNumberFormat="1" applyFont="1" applyBorder="1"/>
    <xf numFmtId="164" fontId="3" fillId="0" borderId="1" xfId="0" applyNumberFormat="1" applyFont="1" applyBorder="1"/>
    <xf numFmtId="166" fontId="2" fillId="0" borderId="1" xfId="0" applyNumberFormat="1" applyFont="1" applyBorder="1"/>
    <xf numFmtId="10" fontId="2" fillId="0" borderId="1" xfId="0" applyNumberFormat="1" applyFont="1" applyBorder="1"/>
    <xf numFmtId="166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zoomScaleNormal="100" workbookViewId="0"/>
  </sheetViews>
  <sheetFormatPr defaultColWidth="8.6328125" defaultRowHeight="14.5" x14ac:dyDescent="0.35"/>
  <cols>
    <col min="1" max="1" width="30" customWidth="1"/>
    <col min="2" max="2" width="10" customWidth="1"/>
    <col min="3" max="3" width="9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3">
        <v>5</v>
      </c>
      <c r="C2" s="2" t="s">
        <v>4</v>
      </c>
    </row>
    <row r="3" spans="1:3" x14ac:dyDescent="0.35">
      <c r="A3" s="2" t="s">
        <v>5</v>
      </c>
      <c r="B3" s="3">
        <v>2.5</v>
      </c>
      <c r="C3" s="2" t="s">
        <v>6</v>
      </c>
    </row>
    <row r="4" spans="1:3" x14ac:dyDescent="0.35">
      <c r="A4" s="2" t="s">
        <v>7</v>
      </c>
      <c r="B4" s="3">
        <v>2.5</v>
      </c>
      <c r="C4" s="2" t="s">
        <v>8</v>
      </c>
    </row>
    <row r="5" spans="1:3" x14ac:dyDescent="0.35">
      <c r="A5" s="2" t="s">
        <v>9</v>
      </c>
      <c r="B5" s="3">
        <v>2.7</v>
      </c>
      <c r="C5" s="2" t="s">
        <v>10</v>
      </c>
    </row>
    <row r="6" spans="1:3" x14ac:dyDescent="0.35">
      <c r="A6" s="2" t="s">
        <v>11</v>
      </c>
      <c r="B6" s="3">
        <v>2.2000000000000002</v>
      </c>
      <c r="C6" s="2" t="s">
        <v>12</v>
      </c>
    </row>
    <row r="7" spans="1:3" x14ac:dyDescent="0.35">
      <c r="A7" s="2" t="s">
        <v>13</v>
      </c>
      <c r="B7" s="3">
        <v>0.08</v>
      </c>
      <c r="C7" s="2" t="s">
        <v>14</v>
      </c>
    </row>
    <row r="8" spans="1:3" x14ac:dyDescent="0.35">
      <c r="A8" s="2" t="s">
        <v>15</v>
      </c>
      <c r="B8" s="3">
        <v>17</v>
      </c>
      <c r="C8" s="2" t="s">
        <v>16</v>
      </c>
    </row>
    <row r="9" spans="1:3" x14ac:dyDescent="0.35">
      <c r="A9" s="2" t="s">
        <v>17</v>
      </c>
      <c r="B9" s="3">
        <v>12</v>
      </c>
      <c r="C9" s="2" t="s">
        <v>16</v>
      </c>
    </row>
    <row r="10" spans="1:3" x14ac:dyDescent="0.35">
      <c r="A10" s="2" t="s">
        <v>18</v>
      </c>
      <c r="B10" s="3">
        <v>0.01</v>
      </c>
      <c r="C10" s="2" t="s">
        <v>19</v>
      </c>
    </row>
    <row r="11" spans="1:3" x14ac:dyDescent="0.35">
      <c r="A11" s="2" t="s">
        <v>20</v>
      </c>
      <c r="B11" s="3">
        <v>0.2</v>
      </c>
      <c r="C11" s="2" t="s">
        <v>21</v>
      </c>
    </row>
    <row r="12" spans="1:3" x14ac:dyDescent="0.35">
      <c r="A12" s="2" t="s">
        <v>22</v>
      </c>
      <c r="B12" s="3">
        <v>0.8</v>
      </c>
      <c r="C12" s="2" t="s">
        <v>23</v>
      </c>
    </row>
    <row r="13" spans="1:3" x14ac:dyDescent="0.35">
      <c r="A13" s="2" t="s">
        <v>24</v>
      </c>
      <c r="B13" s="4">
        <v>0.6</v>
      </c>
      <c r="C13" s="2" t="s">
        <v>25</v>
      </c>
    </row>
    <row r="14" spans="1:3" x14ac:dyDescent="0.35">
      <c r="A14" s="2" t="s">
        <v>26</v>
      </c>
      <c r="B14" s="4">
        <v>0.4</v>
      </c>
      <c r="C14" s="2" t="s">
        <v>27</v>
      </c>
    </row>
    <row r="15" spans="1:3" x14ac:dyDescent="0.35">
      <c r="A15" s="2" t="s">
        <v>28</v>
      </c>
      <c r="B15" s="4">
        <v>1</v>
      </c>
      <c r="C15" s="2" t="s">
        <v>29</v>
      </c>
    </row>
    <row r="16" spans="1:3" x14ac:dyDescent="0.35">
      <c r="A16" s="2" t="s">
        <v>30</v>
      </c>
      <c r="B16" s="5">
        <v>0.01</v>
      </c>
      <c r="C16" s="2" t="s">
        <v>31</v>
      </c>
    </row>
    <row r="17" spans="1:3" x14ac:dyDescent="0.35">
      <c r="A17" s="2" t="s">
        <v>32</v>
      </c>
      <c r="B17" s="5">
        <v>0.03</v>
      </c>
      <c r="C17" s="2" t="s">
        <v>33</v>
      </c>
    </row>
    <row r="18" spans="1:3" x14ac:dyDescent="0.35">
      <c r="A18" s="2" t="s">
        <v>34</v>
      </c>
      <c r="B18" s="5">
        <v>0.2</v>
      </c>
      <c r="C18" s="2" t="s">
        <v>35</v>
      </c>
    </row>
    <row r="20" spans="1:3" x14ac:dyDescent="0.35">
      <c r="A20" s="6" t="s">
        <v>36</v>
      </c>
    </row>
    <row r="21" spans="1:3" x14ac:dyDescent="0.35">
      <c r="A21" s="2" t="s">
        <v>37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5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2" customWidth="1"/>
    <col min="2" max="2" width="13" customWidth="1"/>
    <col min="3" max="3" width="9" customWidth="1"/>
    <col min="4" max="5" width="7" customWidth="1"/>
    <col min="6" max="7" width="11" customWidth="1"/>
    <col min="8" max="8" width="12" customWidth="1"/>
    <col min="9" max="9" width="8" customWidth="1"/>
    <col min="10" max="10" width="7" customWidth="1"/>
    <col min="11" max="11" width="10" customWidth="1"/>
    <col min="12" max="12" width="11" customWidth="1"/>
    <col min="13" max="13" width="10" customWidth="1"/>
    <col min="14" max="15" width="12" customWidth="1"/>
    <col min="16" max="16" width="9" customWidth="1"/>
    <col min="17" max="17" width="10" customWidth="1"/>
    <col min="18" max="18" width="9" customWidth="1"/>
    <col min="19" max="19" width="10" customWidth="1"/>
  </cols>
  <sheetData>
    <row r="1" spans="1:19" ht="42.5" x14ac:dyDescent="0.35">
      <c r="A1" s="7" t="s">
        <v>38</v>
      </c>
      <c r="B1" s="7" t="s">
        <v>39</v>
      </c>
      <c r="C1" s="7" t="s">
        <v>40</v>
      </c>
      <c r="D1" s="7" t="s">
        <v>41</v>
      </c>
      <c r="E1" s="7" t="s">
        <v>42</v>
      </c>
      <c r="F1" s="7" t="s">
        <v>43</v>
      </c>
      <c r="G1" s="7" t="s">
        <v>44</v>
      </c>
      <c r="H1" s="7" t="s">
        <v>45</v>
      </c>
      <c r="I1" s="7" t="s">
        <v>46</v>
      </c>
      <c r="J1" s="7" t="s">
        <v>47</v>
      </c>
      <c r="K1" s="7" t="s">
        <v>48</v>
      </c>
      <c r="L1" s="7" t="s">
        <v>49</v>
      </c>
      <c r="M1" s="7" t="s">
        <v>50</v>
      </c>
      <c r="N1" s="7" t="s">
        <v>51</v>
      </c>
      <c r="O1" s="7" t="s">
        <v>52</v>
      </c>
      <c r="P1" s="7" t="s">
        <v>53</v>
      </c>
      <c r="Q1" s="7" t="s">
        <v>54</v>
      </c>
      <c r="R1" s="7" t="s">
        <v>55</v>
      </c>
      <c r="S1" s="7" t="s">
        <v>56</v>
      </c>
    </row>
    <row r="2" spans="1:19" x14ac:dyDescent="0.35">
      <c r="A2" s="8" t="s">
        <v>57</v>
      </c>
      <c r="B2" s="8" t="s">
        <v>58</v>
      </c>
      <c r="C2" s="9">
        <v>11.5</v>
      </c>
      <c r="D2" s="10">
        <v>-140</v>
      </c>
      <c r="E2" s="10">
        <v>115</v>
      </c>
      <c r="F2" s="11">
        <f t="shared" ref="F2:F33" si="0">IF(D2&gt;0,100/(D2+100),-D2/(-D2+100))</f>
        <v>0.58333333333333337</v>
      </c>
      <c r="G2" s="11">
        <f t="shared" ref="G2:G33" si="1">IF(E2&gt;0,100/(E2+100),-E2/(-E2+100))</f>
        <v>0.46511627906976744</v>
      </c>
      <c r="H2" s="11">
        <f t="shared" ref="H2:H33" si="2">F2/(F2+G2)</f>
        <v>0.55637707948243986</v>
      </c>
      <c r="I2" s="12">
        <f>C2+Parameters!$B$5*NORMSINV(H2)</f>
        <v>11.882833143804826</v>
      </c>
      <c r="J2" s="10">
        <v>68</v>
      </c>
      <c r="K2" s="9">
        <v>68.760000000000005</v>
      </c>
      <c r="L2" s="13">
        <v>0.5272</v>
      </c>
      <c r="M2" s="10">
        <v>0</v>
      </c>
      <c r="N2" s="14">
        <f>Parameters!$B$2*I2+Parameters!$B$3*Parameters!$B$7</f>
        <v>59.614165719024129</v>
      </c>
      <c r="O2" s="14">
        <f>Parameters!$B$4*Parameters!$B$8*L2</f>
        <v>22.405999999999999</v>
      </c>
      <c r="P2" s="14">
        <f t="shared" ref="P2:P33" si="3">N2+O2</f>
        <v>82.020165719024135</v>
      </c>
      <c r="Q2" s="11">
        <f>(O2-Parameters!$B$4*M2)/P2</f>
        <v>0.27317672189002962</v>
      </c>
      <c r="R2" s="15">
        <f>IF(Parameters!$B$4*M2/P2&gt;Parameters!$B$18,0,Parameters!$B$16+(Parameters!$B$17-Parameters!$B$16)*(Q2-MIN(Q$2:Q$33))/(MAX(Q$2:Q$33)-MIN(Q$2:Q$33)))</f>
        <v>0.01</v>
      </c>
      <c r="S2" s="16">
        <f>ROUND(P2*(1-R2)/Parameters!$B$10,0)*Parameters!$B$10</f>
        <v>81.2</v>
      </c>
    </row>
    <row r="3" spans="1:19" x14ac:dyDescent="0.35">
      <c r="A3" s="8" t="s">
        <v>59</v>
      </c>
      <c r="B3" s="8" t="s">
        <v>60</v>
      </c>
      <c r="C3" s="9">
        <v>11.5</v>
      </c>
      <c r="D3" s="10">
        <v>118</v>
      </c>
      <c r="E3" s="10">
        <v>-140</v>
      </c>
      <c r="F3" s="11">
        <f t="shared" si="0"/>
        <v>0.45871559633027525</v>
      </c>
      <c r="G3" s="11">
        <f t="shared" si="1"/>
        <v>0.58333333333333337</v>
      </c>
      <c r="H3" s="11">
        <f t="shared" si="2"/>
        <v>0.44020542920029349</v>
      </c>
      <c r="I3" s="12">
        <f>C3+Parameters!$B$5*NORMSINV(H3)</f>
        <v>11.093789321013695</v>
      </c>
      <c r="J3" s="10">
        <v>76</v>
      </c>
      <c r="K3" s="9">
        <v>71.7</v>
      </c>
      <c r="L3" s="13">
        <v>0.53410000000000002</v>
      </c>
      <c r="M3" s="10">
        <v>0</v>
      </c>
      <c r="N3" s="14">
        <f>Parameters!$B$2*I3+Parameters!$B$3*Parameters!$B$7</f>
        <v>55.668946605068477</v>
      </c>
      <c r="O3" s="14">
        <f>Parameters!$B$4*Parameters!$B$8*L3</f>
        <v>22.699249999999999</v>
      </c>
      <c r="P3" s="14">
        <f t="shared" si="3"/>
        <v>78.368196605068476</v>
      </c>
      <c r="Q3" s="11">
        <f>(O3-Parameters!$B$4*M3)/P3</f>
        <v>0.28964874762132681</v>
      </c>
      <c r="R3" s="15">
        <f>IF(Parameters!$B$4*M3/P3&gt;Parameters!$B$18,0,Parameters!$B$16+(Parameters!$B$17-Parameters!$B$16)*(Q3-MIN(Q$2:Q$33))/(MAX(Q$2:Q$33)-MIN(Q$2:Q$33)))</f>
        <v>1.1572459913504788E-2</v>
      </c>
      <c r="S3" s="16">
        <f>ROUND(P3*(1-R3)/Parameters!$B$10,0)*Parameters!$B$10</f>
        <v>77.460000000000008</v>
      </c>
    </row>
    <row r="4" spans="1:19" x14ac:dyDescent="0.35">
      <c r="A4" s="8" t="s">
        <v>61</v>
      </c>
      <c r="B4" s="8" t="s">
        <v>62</v>
      </c>
      <c r="C4" s="9">
        <v>10.5</v>
      </c>
      <c r="D4" s="10">
        <v>-145</v>
      </c>
      <c r="E4" s="10">
        <v>120</v>
      </c>
      <c r="F4" s="11">
        <f t="shared" si="0"/>
        <v>0.59183673469387754</v>
      </c>
      <c r="G4" s="11">
        <f t="shared" si="1"/>
        <v>0.45454545454545453</v>
      </c>
      <c r="H4" s="11">
        <f t="shared" si="2"/>
        <v>0.56560283687943258</v>
      </c>
      <c r="I4" s="12">
        <f>C4+Parameters!$B$5*NORMSINV(H4)</f>
        <v>10.946013376456298</v>
      </c>
      <c r="J4" s="10">
        <v>80</v>
      </c>
      <c r="K4" s="9">
        <v>73.760000000000005</v>
      </c>
      <c r="L4" s="13">
        <v>0.54849999999999999</v>
      </c>
      <c r="M4" s="10">
        <v>0</v>
      </c>
      <c r="N4" s="14">
        <f>Parameters!$B$2*I4+Parameters!$B$3*Parameters!$B$7</f>
        <v>54.930066882281494</v>
      </c>
      <c r="O4" s="14">
        <f>Parameters!$B$4*Parameters!$B$8*L4</f>
        <v>23.311250000000001</v>
      </c>
      <c r="P4" s="14">
        <f t="shared" si="3"/>
        <v>78.241316882281495</v>
      </c>
      <c r="Q4" s="11">
        <f>(O4-Parameters!$B$4*M4)/P4</f>
        <v>0.29794040960574708</v>
      </c>
      <c r="R4" s="15">
        <f>IF(Parameters!$B$4*M4/P4&gt;Parameters!$B$18,0,Parameters!$B$16+(Parameters!$B$17-Parameters!$B$16)*(Q4-MIN(Q$2:Q$33))/(MAX(Q$2:Q$33)-MIN(Q$2:Q$33)))</f>
        <v>1.2364002271410372E-2</v>
      </c>
      <c r="S4" s="16">
        <f>ROUND(P4*(1-R4)/Parameters!$B$10,0)*Parameters!$B$10</f>
        <v>77.27</v>
      </c>
    </row>
    <row r="5" spans="1:19" x14ac:dyDescent="0.35">
      <c r="A5" s="8" t="s">
        <v>63</v>
      </c>
      <c r="B5" s="8" t="s">
        <v>64</v>
      </c>
      <c r="C5" s="9">
        <v>10.5</v>
      </c>
      <c r="D5" s="10">
        <v>-130</v>
      </c>
      <c r="E5" s="10">
        <v>110</v>
      </c>
      <c r="F5" s="11">
        <f t="shared" si="0"/>
        <v>0.56521739130434778</v>
      </c>
      <c r="G5" s="11">
        <f t="shared" si="1"/>
        <v>0.47619047619047616</v>
      </c>
      <c r="H5" s="11">
        <f t="shared" si="2"/>
        <v>0.54274353876739567</v>
      </c>
      <c r="I5" s="12">
        <f>C5+Parameters!$B$5*NORMSINV(H5)</f>
        <v>10.789839544028208</v>
      </c>
      <c r="J5" s="10">
        <v>82</v>
      </c>
      <c r="K5" s="9">
        <v>74.59</v>
      </c>
      <c r="L5" s="13">
        <v>0.53890000000000005</v>
      </c>
      <c r="M5" s="10">
        <v>0</v>
      </c>
      <c r="N5" s="14">
        <f>Parameters!$B$2*I5+Parameters!$B$3*Parameters!$B$7</f>
        <v>54.149197720141046</v>
      </c>
      <c r="O5" s="14">
        <f>Parameters!$B$4*Parameters!$B$8*L5</f>
        <v>22.903250000000003</v>
      </c>
      <c r="P5" s="14">
        <f t="shared" si="3"/>
        <v>77.052447720141046</v>
      </c>
      <c r="Q5" s="11">
        <f>(O5-Parameters!$B$4*M5)/P5</f>
        <v>0.29724234177720005</v>
      </c>
      <c r="R5" s="15">
        <f>IF(Parameters!$B$4*M5/P5&gt;Parameters!$B$18,0,Parameters!$B$16+(Parameters!$B$17-Parameters!$B$16)*(Q5-MIN(Q$2:Q$33))/(MAX(Q$2:Q$33)-MIN(Q$2:Q$33)))</f>
        <v>1.2297363007047646E-2</v>
      </c>
      <c r="S5" s="16">
        <f>ROUND(P5*(1-R5)/Parameters!$B$10,0)*Parameters!$B$10</f>
        <v>76.100000000000009</v>
      </c>
    </row>
    <row r="6" spans="1:19" x14ac:dyDescent="0.35">
      <c r="A6" s="8" t="s">
        <v>65</v>
      </c>
      <c r="B6" s="8" t="s">
        <v>58</v>
      </c>
      <c r="C6" s="9">
        <v>10.5</v>
      </c>
      <c r="D6" s="10">
        <v>-125</v>
      </c>
      <c r="E6" s="10">
        <v>105</v>
      </c>
      <c r="F6" s="11">
        <f t="shared" si="0"/>
        <v>0.55555555555555558</v>
      </c>
      <c r="G6" s="11">
        <f t="shared" si="1"/>
        <v>0.48780487804878048</v>
      </c>
      <c r="H6" s="11">
        <f t="shared" si="2"/>
        <v>0.53246753246753253</v>
      </c>
      <c r="I6" s="12">
        <f>C6+Parameters!$B$5*NORMSINV(H6)</f>
        <v>10.719980024263867</v>
      </c>
      <c r="J6" s="10">
        <v>70</v>
      </c>
      <c r="K6" s="9">
        <v>67.22</v>
      </c>
      <c r="L6" s="13">
        <v>0.52090000000000003</v>
      </c>
      <c r="M6" s="10">
        <v>0</v>
      </c>
      <c r="N6" s="14">
        <f>Parameters!$B$2*I6+Parameters!$B$3*Parameters!$B$7</f>
        <v>53.79990012131934</v>
      </c>
      <c r="O6" s="14">
        <f>Parameters!$B$4*Parameters!$B$8*L6</f>
        <v>22.138250000000003</v>
      </c>
      <c r="P6" s="14">
        <f t="shared" si="3"/>
        <v>75.938150121319339</v>
      </c>
      <c r="Q6" s="11">
        <f>(O6-Parameters!$B$4*M6)/P6</f>
        <v>0.29153001442136495</v>
      </c>
      <c r="R6" s="15">
        <f>IF(Parameters!$B$4*M6/P6&gt;Parameters!$B$18,0,Parameters!$B$16+(Parameters!$B$17-Parameters!$B$16)*(Q6-MIN(Q$2:Q$33))/(MAX(Q$2:Q$33)-MIN(Q$2:Q$33)))</f>
        <v>1.1752050249139508E-2</v>
      </c>
      <c r="S6" s="16">
        <f>ROUND(P6*(1-R6)/Parameters!$B$10,0)*Parameters!$B$10</f>
        <v>75.05</v>
      </c>
    </row>
    <row r="7" spans="1:19" x14ac:dyDescent="0.35">
      <c r="A7" s="8" t="s">
        <v>66</v>
      </c>
      <c r="B7" s="8" t="s">
        <v>58</v>
      </c>
      <c r="C7" s="9">
        <v>10.5</v>
      </c>
      <c r="D7" s="10">
        <v>105</v>
      </c>
      <c r="E7" s="10">
        <v>-125</v>
      </c>
      <c r="F7" s="11">
        <f t="shared" si="0"/>
        <v>0.48780487804878048</v>
      </c>
      <c r="G7" s="11">
        <f t="shared" si="1"/>
        <v>0.55555555555555558</v>
      </c>
      <c r="H7" s="11">
        <f t="shared" si="2"/>
        <v>0.46753246753246752</v>
      </c>
      <c r="I7" s="12">
        <f>C7+Parameters!$B$5*NORMSINV(H7)</f>
        <v>10.280019975736135</v>
      </c>
      <c r="J7" s="10">
        <v>88</v>
      </c>
      <c r="K7" s="9">
        <v>76.989999999999995</v>
      </c>
      <c r="L7" s="13">
        <v>0.55830000000000002</v>
      </c>
      <c r="M7" s="10">
        <v>0</v>
      </c>
      <c r="N7" s="14">
        <f>Parameters!$B$2*I7+Parameters!$B$3*Parameters!$B$7</f>
        <v>51.60009987868068</v>
      </c>
      <c r="O7" s="14">
        <f>Parameters!$B$4*Parameters!$B$8*L7</f>
        <v>23.72775</v>
      </c>
      <c r="P7" s="14">
        <f t="shared" si="3"/>
        <v>75.327849878680681</v>
      </c>
      <c r="Q7" s="11">
        <f>(O7-Parameters!$B$4*M7)/P7</f>
        <v>0.31499306084289869</v>
      </c>
      <c r="R7" s="15">
        <f>IF(Parameters!$B$4*M7/P7&gt;Parameters!$B$18,0,Parameters!$B$16+(Parameters!$B$17-Parameters!$B$16)*(Q7-MIN(Q$2:Q$33))/(MAX(Q$2:Q$33)-MIN(Q$2:Q$33)))</f>
        <v>1.3991890117557335E-2</v>
      </c>
      <c r="S7" s="16">
        <f>ROUND(P7*(1-R7)/Parameters!$B$10,0)*Parameters!$B$10</f>
        <v>74.27</v>
      </c>
    </row>
    <row r="8" spans="1:19" x14ac:dyDescent="0.35">
      <c r="A8" s="8" t="s">
        <v>67</v>
      </c>
      <c r="B8" s="8" t="s">
        <v>68</v>
      </c>
      <c r="C8" s="9">
        <v>10.5</v>
      </c>
      <c r="D8" s="10">
        <v>115</v>
      </c>
      <c r="E8" s="10">
        <v>-135</v>
      </c>
      <c r="F8" s="11">
        <f t="shared" si="0"/>
        <v>0.46511627906976744</v>
      </c>
      <c r="G8" s="11">
        <f t="shared" si="1"/>
        <v>0.57446808510638303</v>
      </c>
      <c r="H8" s="11">
        <f t="shared" si="2"/>
        <v>0.44740599714421703</v>
      </c>
      <c r="I8" s="12">
        <f>C8+Parameters!$B$5*NORMSINV(H8)</f>
        <v>10.143011844178975</v>
      </c>
      <c r="J8" s="10">
        <v>95</v>
      </c>
      <c r="K8" s="9">
        <v>80.87</v>
      </c>
      <c r="L8" s="13">
        <v>0.56769999999999998</v>
      </c>
      <c r="M8" s="10">
        <v>0</v>
      </c>
      <c r="N8" s="14">
        <f>Parameters!$B$2*I8+Parameters!$B$3*Parameters!$B$7</f>
        <v>50.915059220894875</v>
      </c>
      <c r="O8" s="14">
        <f>Parameters!$B$4*Parameters!$B$8*L8</f>
        <v>24.12725</v>
      </c>
      <c r="P8" s="14">
        <f t="shared" si="3"/>
        <v>75.042309220894879</v>
      </c>
      <c r="Q8" s="11">
        <f>(O8-Parameters!$B$4*M8)/P8</f>
        <v>0.32151529251290656</v>
      </c>
      <c r="R8" s="15">
        <f>IF(Parameters!$B$4*M8/P8&gt;Parameters!$B$18,0,Parameters!$B$16+(Parameters!$B$17-Parameters!$B$16)*(Q8-MIN(Q$2:Q$33))/(MAX(Q$2:Q$33)-MIN(Q$2:Q$33)))</f>
        <v>1.4614518324614603E-2</v>
      </c>
      <c r="S8" s="16">
        <f>ROUND(P8*(1-R8)/Parameters!$B$10,0)*Parameters!$B$10</f>
        <v>73.95</v>
      </c>
    </row>
    <row r="9" spans="1:19" x14ac:dyDescent="0.35">
      <c r="A9" s="8" t="s">
        <v>69</v>
      </c>
      <c r="B9" s="8" t="s">
        <v>70</v>
      </c>
      <c r="C9" s="9">
        <v>10.5</v>
      </c>
      <c r="D9" s="10">
        <v>120</v>
      </c>
      <c r="E9" s="10">
        <v>-145</v>
      </c>
      <c r="F9" s="11">
        <f t="shared" si="0"/>
        <v>0.45454545454545453</v>
      </c>
      <c r="G9" s="11">
        <f t="shared" si="1"/>
        <v>0.59183673469387754</v>
      </c>
      <c r="H9" s="11">
        <f t="shared" si="2"/>
        <v>0.43439716312056736</v>
      </c>
      <c r="I9" s="12">
        <f>C9+Parameters!$B$5*NORMSINV(H9)</f>
        <v>10.053986623543702</v>
      </c>
      <c r="J9" s="10">
        <v>90</v>
      </c>
      <c r="K9" s="9">
        <v>77.66</v>
      </c>
      <c r="L9" s="13">
        <v>0.55200000000000005</v>
      </c>
      <c r="M9" s="10">
        <v>0</v>
      </c>
      <c r="N9" s="14">
        <f>Parameters!$B$2*I9+Parameters!$B$3*Parameters!$B$7</f>
        <v>50.469933117718512</v>
      </c>
      <c r="O9" s="14">
        <f>Parameters!$B$4*Parameters!$B$8*L9</f>
        <v>23.46</v>
      </c>
      <c r="P9" s="14">
        <f t="shared" si="3"/>
        <v>73.929933117718519</v>
      </c>
      <c r="Q9" s="11">
        <f>(O9-Parameters!$B$4*M9)/P9</f>
        <v>0.31732748848351694</v>
      </c>
      <c r="R9" s="15">
        <f>IF(Parameters!$B$4*M9/P9&gt;Parameters!$B$18,0,Parameters!$B$16+(Parameters!$B$17-Parameters!$B$16)*(Q9-MIN(Q$2:Q$33))/(MAX(Q$2:Q$33)-MIN(Q$2:Q$33)))</f>
        <v>1.4214740296747814E-2</v>
      </c>
      <c r="S9" s="16">
        <f>ROUND(P9*(1-R9)/Parameters!$B$10,0)*Parameters!$B$10</f>
        <v>72.88</v>
      </c>
    </row>
    <row r="10" spans="1:19" x14ac:dyDescent="0.35">
      <c r="A10" s="8" t="s">
        <v>71</v>
      </c>
      <c r="B10" s="8" t="s">
        <v>62</v>
      </c>
      <c r="C10" s="9">
        <v>10.5</v>
      </c>
      <c r="D10" s="10">
        <v>120</v>
      </c>
      <c r="E10" s="10">
        <v>-145</v>
      </c>
      <c r="F10" s="11">
        <f t="shared" si="0"/>
        <v>0.45454545454545453</v>
      </c>
      <c r="G10" s="11">
        <f t="shared" si="1"/>
        <v>0.59183673469387754</v>
      </c>
      <c r="H10" s="11">
        <f t="shared" si="2"/>
        <v>0.43439716312056736</v>
      </c>
      <c r="I10" s="12">
        <f>C10+Parameters!$B$5*NORMSINV(H10)</f>
        <v>10.053986623543702</v>
      </c>
      <c r="J10" s="10">
        <v>78</v>
      </c>
      <c r="K10" s="9">
        <v>70.459999999999994</v>
      </c>
      <c r="L10" s="13">
        <v>0.53590000000000004</v>
      </c>
      <c r="M10" s="10">
        <v>0</v>
      </c>
      <c r="N10" s="14">
        <f>Parameters!$B$2*I10+Parameters!$B$3*Parameters!$B$7</f>
        <v>50.469933117718512</v>
      </c>
      <c r="O10" s="14">
        <f>Parameters!$B$4*Parameters!$B$8*L10</f>
        <v>22.775750000000002</v>
      </c>
      <c r="P10" s="14">
        <f t="shared" si="3"/>
        <v>73.245683117718514</v>
      </c>
      <c r="Q10" s="11">
        <f>(O10-Parameters!$B$4*M10)/P10</f>
        <v>0.31095006600451008</v>
      </c>
      <c r="R10" s="15">
        <f>IF(Parameters!$B$4*M10/P10&gt;Parameters!$B$18,0,Parameters!$B$16+(Parameters!$B$17-Parameters!$B$16)*(Q10-MIN(Q$2:Q$33))/(MAX(Q$2:Q$33)-MIN(Q$2:Q$33)))</f>
        <v>1.3605935929676632E-2</v>
      </c>
      <c r="S10" s="16">
        <f>ROUND(P10*(1-R10)/Parameters!$B$10,0)*Parameters!$B$10</f>
        <v>72.25</v>
      </c>
    </row>
    <row r="11" spans="1:19" x14ac:dyDescent="0.35">
      <c r="A11" s="8" t="s">
        <v>72</v>
      </c>
      <c r="B11" s="8" t="s">
        <v>60</v>
      </c>
      <c r="C11" s="9">
        <v>10.5</v>
      </c>
      <c r="D11" s="10">
        <v>115</v>
      </c>
      <c r="E11" s="10">
        <v>-140</v>
      </c>
      <c r="F11" s="11">
        <f t="shared" si="0"/>
        <v>0.46511627906976744</v>
      </c>
      <c r="G11" s="11">
        <f t="shared" si="1"/>
        <v>0.58333333333333337</v>
      </c>
      <c r="H11" s="11">
        <f t="shared" si="2"/>
        <v>0.44362292051756003</v>
      </c>
      <c r="I11" s="12">
        <f>C11+Parameters!$B$5*NORMSINV(H11)</f>
        <v>10.117166856195174</v>
      </c>
      <c r="J11" s="10">
        <v>72</v>
      </c>
      <c r="K11" s="9">
        <v>67.010000000000005</v>
      </c>
      <c r="L11" s="13">
        <v>0.51529999999999998</v>
      </c>
      <c r="M11" s="10">
        <v>0</v>
      </c>
      <c r="N11" s="14">
        <f>Parameters!$B$2*I11+Parameters!$B$3*Parameters!$B$7</f>
        <v>50.785834280975877</v>
      </c>
      <c r="O11" s="14">
        <f>Parameters!$B$4*Parameters!$B$8*L11</f>
        <v>21.90025</v>
      </c>
      <c r="P11" s="14">
        <f t="shared" si="3"/>
        <v>72.686084280975876</v>
      </c>
      <c r="Q11" s="11">
        <f>(O11-Parameters!$B$4*M11)/P11</f>
        <v>0.30129907556090418</v>
      </c>
      <c r="R11" s="15">
        <f>IF(Parameters!$B$4*M11/P11&gt;Parameters!$B$18,0,Parameters!$B$16+(Parameters!$B$17-Parameters!$B$16)*(Q11-MIN(Q$2:Q$33))/(MAX(Q$2:Q$33)-MIN(Q$2:Q$33)))</f>
        <v>1.2684628748292515E-2</v>
      </c>
      <c r="S11" s="16">
        <f>ROUND(P11*(1-R11)/Parameters!$B$10,0)*Parameters!$B$10</f>
        <v>71.760000000000005</v>
      </c>
    </row>
    <row r="12" spans="1:19" x14ac:dyDescent="0.35">
      <c r="A12" s="8" t="s">
        <v>73</v>
      </c>
      <c r="B12" s="8" t="s">
        <v>64</v>
      </c>
      <c r="C12" s="9">
        <v>9.5</v>
      </c>
      <c r="D12" s="10">
        <v>-125</v>
      </c>
      <c r="E12" s="10">
        <v>105</v>
      </c>
      <c r="F12" s="11">
        <f t="shared" si="0"/>
        <v>0.55555555555555558</v>
      </c>
      <c r="G12" s="11">
        <f t="shared" si="1"/>
        <v>0.48780487804878048</v>
      </c>
      <c r="H12" s="11">
        <f t="shared" si="2"/>
        <v>0.53246753246753253</v>
      </c>
      <c r="I12" s="12">
        <f>C12+Parameters!$B$5*NORMSINV(H12)</f>
        <v>9.719980024263867</v>
      </c>
      <c r="J12" s="10">
        <v>88</v>
      </c>
      <c r="K12" s="9">
        <v>75.67</v>
      </c>
      <c r="L12" s="13">
        <v>0.54290000000000005</v>
      </c>
      <c r="M12" s="10">
        <v>0</v>
      </c>
      <c r="N12" s="14">
        <f>Parameters!$B$2*I12+Parameters!$B$3*Parameters!$B$7</f>
        <v>48.79990012131934</v>
      </c>
      <c r="O12" s="14">
        <f>Parameters!$B$4*Parameters!$B$8*L12</f>
        <v>23.073250000000002</v>
      </c>
      <c r="P12" s="14">
        <f t="shared" si="3"/>
        <v>71.873150121319341</v>
      </c>
      <c r="Q12" s="11">
        <f>(O12-Parameters!$B$4*M12)/P12</f>
        <v>0.32102739285885162</v>
      </c>
      <c r="R12" s="15">
        <f>IF(Parameters!$B$4*M12/P12&gt;Parameters!$B$18,0,Parameters!$B$16+(Parameters!$B$17-Parameters!$B$16)*(Q12-MIN(Q$2:Q$33))/(MAX(Q$2:Q$33)-MIN(Q$2:Q$33)))</f>
        <v>1.4567942228855079E-2</v>
      </c>
      <c r="S12" s="16">
        <f>ROUND(P12*(1-R12)/Parameters!$B$10,0)*Parameters!$B$10</f>
        <v>70.83</v>
      </c>
    </row>
    <row r="13" spans="1:19" x14ac:dyDescent="0.35">
      <c r="A13" s="8" t="s">
        <v>74</v>
      </c>
      <c r="B13" s="8" t="s">
        <v>70</v>
      </c>
      <c r="C13" s="9">
        <v>9.5</v>
      </c>
      <c r="D13" s="10">
        <v>105</v>
      </c>
      <c r="E13" s="10">
        <v>-125</v>
      </c>
      <c r="F13" s="11">
        <f t="shared" si="0"/>
        <v>0.48780487804878048</v>
      </c>
      <c r="G13" s="11">
        <f t="shared" si="1"/>
        <v>0.55555555555555558</v>
      </c>
      <c r="H13" s="11">
        <f t="shared" si="2"/>
        <v>0.46753246753246752</v>
      </c>
      <c r="I13" s="12">
        <f>C13+Parameters!$B$5*NORMSINV(H13)</f>
        <v>9.2800199757361348</v>
      </c>
      <c r="J13" s="10">
        <v>100</v>
      </c>
      <c r="K13" s="9">
        <v>81.84</v>
      </c>
      <c r="L13" s="13">
        <v>0.56640000000000001</v>
      </c>
      <c r="M13" s="10">
        <v>0</v>
      </c>
      <c r="N13" s="14">
        <f>Parameters!$B$2*I13+Parameters!$B$3*Parameters!$B$7</f>
        <v>46.60009987868068</v>
      </c>
      <c r="O13" s="14">
        <f>Parameters!$B$4*Parameters!$B$8*L13</f>
        <v>24.071999999999999</v>
      </c>
      <c r="P13" s="14">
        <f t="shared" si="3"/>
        <v>70.672099878680683</v>
      </c>
      <c r="Q13" s="11">
        <f>(O13-Parameters!$B$4*M13)/P13</f>
        <v>0.34061532119921745</v>
      </c>
      <c r="R13" s="15">
        <f>IF(Parameters!$B$4*M13/P13&gt;Parameters!$B$18,0,Parameters!$B$16+(Parameters!$B$17-Parameters!$B$16)*(Q13-MIN(Q$2:Q$33))/(MAX(Q$2:Q$33)-MIN(Q$2:Q$33)))</f>
        <v>1.6437853835738175E-2</v>
      </c>
      <c r="S13" s="16">
        <f>ROUND(P13*(1-R13)/Parameters!$B$10,0)*Parameters!$B$10</f>
        <v>69.510000000000005</v>
      </c>
    </row>
    <row r="14" spans="1:19" x14ac:dyDescent="0.35">
      <c r="A14" s="8" t="s">
        <v>75</v>
      </c>
      <c r="B14" s="8" t="s">
        <v>68</v>
      </c>
      <c r="C14" s="9">
        <v>9.5</v>
      </c>
      <c r="D14" s="10">
        <v>-125</v>
      </c>
      <c r="E14" s="10">
        <v>105</v>
      </c>
      <c r="F14" s="11">
        <f t="shared" si="0"/>
        <v>0.55555555555555558</v>
      </c>
      <c r="G14" s="11">
        <f t="shared" si="1"/>
        <v>0.48780487804878048</v>
      </c>
      <c r="H14" s="11">
        <f t="shared" si="2"/>
        <v>0.53246753246753253</v>
      </c>
      <c r="I14" s="12">
        <f>C14+Parameters!$B$5*NORMSINV(H14)</f>
        <v>9.719980024263867</v>
      </c>
      <c r="J14" s="10">
        <v>72</v>
      </c>
      <c r="K14" s="9">
        <v>66.069999999999993</v>
      </c>
      <c r="L14" s="13">
        <v>0.51190000000000002</v>
      </c>
      <c r="M14" s="10">
        <v>0</v>
      </c>
      <c r="N14" s="14">
        <f>Parameters!$B$2*I14+Parameters!$B$3*Parameters!$B$7</f>
        <v>48.79990012131934</v>
      </c>
      <c r="O14" s="14">
        <f>Parameters!$B$4*Parameters!$B$8*L14</f>
        <v>21.755750000000003</v>
      </c>
      <c r="P14" s="14">
        <f t="shared" si="3"/>
        <v>70.555650121319346</v>
      </c>
      <c r="Q14" s="11">
        <f>(O14-Parameters!$B$4*M14)/P14</f>
        <v>0.30834879931786224</v>
      </c>
      <c r="R14" s="15">
        <f>IF(Parameters!$B$4*M14/P14&gt;Parameters!$B$18,0,Parameters!$B$16+(Parameters!$B$17-Parameters!$B$16)*(Q14-MIN(Q$2:Q$33))/(MAX(Q$2:Q$33)-MIN(Q$2:Q$33)))</f>
        <v>1.3357612641708635E-2</v>
      </c>
      <c r="S14" s="16">
        <f>ROUND(P14*(1-R14)/Parameters!$B$10,0)*Parameters!$B$10</f>
        <v>69.61</v>
      </c>
    </row>
    <row r="15" spans="1:19" x14ac:dyDescent="0.35">
      <c r="A15" s="8" t="s">
        <v>76</v>
      </c>
      <c r="B15" s="8" t="s">
        <v>77</v>
      </c>
      <c r="C15" s="9">
        <v>9.5</v>
      </c>
      <c r="D15" s="10">
        <v>-125</v>
      </c>
      <c r="E15" s="10">
        <v>105</v>
      </c>
      <c r="F15" s="11">
        <f t="shared" si="0"/>
        <v>0.55555555555555558</v>
      </c>
      <c r="G15" s="11">
        <f t="shared" si="1"/>
        <v>0.48780487804878048</v>
      </c>
      <c r="H15" s="11">
        <f t="shared" si="2"/>
        <v>0.53246753246753253</v>
      </c>
      <c r="I15" s="12">
        <f>C15+Parameters!$B$5*NORMSINV(H15)</f>
        <v>9.719980024263867</v>
      </c>
      <c r="J15" s="10">
        <v>65</v>
      </c>
      <c r="K15" s="9">
        <v>61.87</v>
      </c>
      <c r="L15" s="13">
        <v>0.51180000000000003</v>
      </c>
      <c r="M15" s="10">
        <v>0</v>
      </c>
      <c r="N15" s="14">
        <f>Parameters!$B$2*I15+Parameters!$B$3*Parameters!$B$7</f>
        <v>48.79990012131934</v>
      </c>
      <c r="O15" s="14">
        <f>Parameters!$B$4*Parameters!$B$8*L15</f>
        <v>21.7515</v>
      </c>
      <c r="P15" s="14">
        <f t="shared" si="3"/>
        <v>70.551400121319347</v>
      </c>
      <c r="Q15" s="11">
        <f>(O15-Parameters!$B$4*M15)/P15</f>
        <v>0.30830713440975488</v>
      </c>
      <c r="R15" s="15">
        <f>IF(Parameters!$B$4*M15/P15&gt;Parameters!$B$18,0,Parameters!$B$16+(Parameters!$B$17-Parameters!$B$16)*(Q15-MIN(Q$2:Q$33))/(MAX(Q$2:Q$33)-MIN(Q$2:Q$33)))</f>
        <v>1.3353635207550419E-2</v>
      </c>
      <c r="S15" s="16">
        <f>ROUND(P15*(1-R15)/Parameters!$B$10,0)*Parameters!$B$10</f>
        <v>69.61</v>
      </c>
    </row>
    <row r="16" spans="1:19" x14ac:dyDescent="0.35">
      <c r="A16" s="8" t="s">
        <v>78</v>
      </c>
      <c r="B16" s="8" t="s">
        <v>68</v>
      </c>
      <c r="C16" s="9">
        <v>9.5</v>
      </c>
      <c r="D16" s="10">
        <v>-140</v>
      </c>
      <c r="E16" s="10">
        <v>115</v>
      </c>
      <c r="F16" s="11">
        <f t="shared" si="0"/>
        <v>0.58333333333333337</v>
      </c>
      <c r="G16" s="11">
        <f t="shared" si="1"/>
        <v>0.46511627906976744</v>
      </c>
      <c r="H16" s="11">
        <f t="shared" si="2"/>
        <v>0.55637707948243986</v>
      </c>
      <c r="I16" s="12">
        <f>C16+Parameters!$B$5*NORMSINV(H16)</f>
        <v>9.8828331438048256</v>
      </c>
      <c r="J16" s="10">
        <v>60</v>
      </c>
      <c r="K16" s="9">
        <v>59.25</v>
      </c>
      <c r="L16" s="13">
        <v>0.48170000000000002</v>
      </c>
      <c r="M16" s="10">
        <v>0</v>
      </c>
      <c r="N16" s="14">
        <f>Parameters!$B$2*I16+Parameters!$B$3*Parameters!$B$7</f>
        <v>49.614165719024129</v>
      </c>
      <c r="O16" s="14">
        <f>Parameters!$B$4*Parameters!$B$8*L16</f>
        <v>20.472250000000003</v>
      </c>
      <c r="P16" s="14">
        <f t="shared" si="3"/>
        <v>70.086415719024131</v>
      </c>
      <c r="Q16" s="11">
        <f>(O16-Parameters!$B$4*M16)/P16</f>
        <v>0.29210011369497174</v>
      </c>
      <c r="R16" s="15">
        <f>IF(Parameters!$B$4*M16/P16&gt;Parameters!$B$18,0,Parameters!$B$16+(Parameters!$B$17-Parameters!$B$16)*(Q16-MIN(Q$2:Q$33))/(MAX(Q$2:Q$33)-MIN(Q$2:Q$33)))</f>
        <v>1.1806473321874369E-2</v>
      </c>
      <c r="S16" s="16">
        <f>ROUND(P16*(1-R16)/Parameters!$B$10,0)*Parameters!$B$10</f>
        <v>69.260000000000005</v>
      </c>
    </row>
    <row r="17" spans="1:19" x14ac:dyDescent="0.35">
      <c r="A17" s="8" t="s">
        <v>79</v>
      </c>
      <c r="B17" s="8" t="s">
        <v>64</v>
      </c>
      <c r="C17" s="9">
        <v>9.5</v>
      </c>
      <c r="D17" s="10">
        <v>105</v>
      </c>
      <c r="E17" s="10">
        <v>-125</v>
      </c>
      <c r="F17" s="11">
        <f t="shared" si="0"/>
        <v>0.48780487804878048</v>
      </c>
      <c r="G17" s="11">
        <f t="shared" si="1"/>
        <v>0.55555555555555558</v>
      </c>
      <c r="H17" s="11">
        <f t="shared" si="2"/>
        <v>0.46753246753246752</v>
      </c>
      <c r="I17" s="12">
        <f>C17+Parameters!$B$5*NORMSINV(H17)</f>
        <v>9.2800199757361348</v>
      </c>
      <c r="J17" s="10">
        <v>78</v>
      </c>
      <c r="K17" s="9">
        <v>68.64</v>
      </c>
      <c r="L17" s="13">
        <v>0.51590000000000003</v>
      </c>
      <c r="M17" s="10">
        <v>0</v>
      </c>
      <c r="N17" s="14">
        <f>Parameters!$B$2*I17+Parameters!$B$3*Parameters!$B$7</f>
        <v>46.60009987868068</v>
      </c>
      <c r="O17" s="14">
        <f>Parameters!$B$4*Parameters!$B$8*L17</f>
        <v>21.925750000000001</v>
      </c>
      <c r="P17" s="14">
        <f t="shared" si="3"/>
        <v>68.525849878680674</v>
      </c>
      <c r="Q17" s="11">
        <f>(O17-Parameters!$B$4*M17)/P17</f>
        <v>0.31996319693688907</v>
      </c>
      <c r="R17" s="15">
        <f>IF(Parameters!$B$4*M17/P17&gt;Parameters!$B$18,0,Parameters!$B$16+(Parameters!$B$17-Parameters!$B$16)*(Q17-MIN(Q$2:Q$33))/(MAX(Q$2:Q$33)-MIN(Q$2:Q$33)))</f>
        <v>1.446635148010935E-2</v>
      </c>
      <c r="S17" s="16">
        <f>ROUND(P17*(1-R17)/Parameters!$B$10,0)*Parameters!$B$10</f>
        <v>67.53</v>
      </c>
    </row>
    <row r="18" spans="1:19" x14ac:dyDescent="0.35">
      <c r="A18" s="8" t="s">
        <v>80</v>
      </c>
      <c r="B18" s="8" t="s">
        <v>77</v>
      </c>
      <c r="C18" s="9">
        <v>8.5</v>
      </c>
      <c r="D18" s="10">
        <v>-140</v>
      </c>
      <c r="E18" s="10">
        <v>115</v>
      </c>
      <c r="F18" s="11">
        <f t="shared" si="0"/>
        <v>0.58333333333333337</v>
      </c>
      <c r="G18" s="11">
        <f t="shared" si="1"/>
        <v>0.46511627906976744</v>
      </c>
      <c r="H18" s="11">
        <f t="shared" si="2"/>
        <v>0.55637707948243986</v>
      </c>
      <c r="I18" s="12">
        <f>C18+Parameters!$B$5*NORMSINV(H18)</f>
        <v>8.8828331438048256</v>
      </c>
      <c r="J18" s="10">
        <v>50</v>
      </c>
      <c r="K18" s="9">
        <v>50.9</v>
      </c>
      <c r="L18" s="13">
        <v>0.4577</v>
      </c>
      <c r="M18" s="10">
        <v>0</v>
      </c>
      <c r="N18" s="14">
        <f>Parameters!$B$2*I18+Parameters!$B$3*Parameters!$B$7</f>
        <v>44.614165719024129</v>
      </c>
      <c r="O18" s="14">
        <f>Parameters!$B$4*Parameters!$B$8*L18</f>
        <v>19.452249999999999</v>
      </c>
      <c r="P18" s="14">
        <f t="shared" si="3"/>
        <v>64.066415719024121</v>
      </c>
      <c r="Q18" s="11">
        <f>(O18-Parameters!$B$4*M18)/P18</f>
        <v>0.30362631937006856</v>
      </c>
      <c r="R18" s="15">
        <f>IF(Parameters!$B$4*M18/P18&gt;Parameters!$B$18,0,Parameters!$B$16+(Parameters!$B$17-Parameters!$B$16)*(Q18-MIN(Q$2:Q$33))/(MAX(Q$2:Q$33)-MIN(Q$2:Q$33)))</f>
        <v>1.2906793141340423E-2</v>
      </c>
      <c r="S18" s="16">
        <f>ROUND(P18*(1-R18)/Parameters!$B$10,0)*Parameters!$B$10</f>
        <v>63.24</v>
      </c>
    </row>
    <row r="19" spans="1:19" x14ac:dyDescent="0.35">
      <c r="A19" s="8" t="s">
        <v>81</v>
      </c>
      <c r="B19" s="8" t="s">
        <v>64</v>
      </c>
      <c r="C19" s="9">
        <v>8.5</v>
      </c>
      <c r="D19" s="10">
        <v>-110</v>
      </c>
      <c r="E19" s="10">
        <v>-110</v>
      </c>
      <c r="F19" s="11">
        <f t="shared" si="0"/>
        <v>0.52380952380952384</v>
      </c>
      <c r="G19" s="11">
        <f t="shared" si="1"/>
        <v>0.52380952380952384</v>
      </c>
      <c r="H19" s="11">
        <f t="shared" si="2"/>
        <v>0.5</v>
      </c>
      <c r="I19" s="12">
        <f>C19+Parameters!$B$5*NORMSINV(H19)</f>
        <v>8.5</v>
      </c>
      <c r="J19" s="10">
        <v>70</v>
      </c>
      <c r="K19" s="9">
        <v>62</v>
      </c>
      <c r="L19" s="13">
        <v>0.48759999999999998</v>
      </c>
      <c r="M19" s="10">
        <v>0</v>
      </c>
      <c r="N19" s="14">
        <f>Parameters!$B$2*I19+Parameters!$B$3*Parameters!$B$7</f>
        <v>42.7</v>
      </c>
      <c r="O19" s="14">
        <f>Parameters!$B$4*Parameters!$B$8*L19</f>
        <v>20.722999999999999</v>
      </c>
      <c r="P19" s="14">
        <f t="shared" si="3"/>
        <v>63.423000000000002</v>
      </c>
      <c r="Q19" s="11">
        <f>(O19-Parameters!$B$4*M19)/P19</f>
        <v>0.32674266433312832</v>
      </c>
      <c r="R19" s="15">
        <f>IF(Parameters!$B$4*M19/P19&gt;Parameters!$B$18,0,Parameters!$B$16+(Parameters!$B$17-Parameters!$B$16)*(Q19-MIN(Q$2:Q$33))/(MAX(Q$2:Q$33)-MIN(Q$2:Q$33)))</f>
        <v>1.51135360395193E-2</v>
      </c>
      <c r="S19" s="16">
        <f>ROUND(P19*(1-R19)/Parameters!$B$10,0)*Parameters!$B$10</f>
        <v>62.46</v>
      </c>
    </row>
    <row r="20" spans="1:19" x14ac:dyDescent="0.35">
      <c r="A20" s="8" t="s">
        <v>82</v>
      </c>
      <c r="B20" s="8" t="s">
        <v>60</v>
      </c>
      <c r="C20" s="9">
        <v>8.5</v>
      </c>
      <c r="D20" s="10">
        <v>115</v>
      </c>
      <c r="E20" s="10">
        <v>-140</v>
      </c>
      <c r="F20" s="11">
        <f t="shared" si="0"/>
        <v>0.46511627906976744</v>
      </c>
      <c r="G20" s="11">
        <f t="shared" si="1"/>
        <v>0.58333333333333337</v>
      </c>
      <c r="H20" s="11">
        <f t="shared" si="2"/>
        <v>0.44362292051756003</v>
      </c>
      <c r="I20" s="12">
        <f>C20+Parameters!$B$5*NORMSINV(H20)</f>
        <v>8.1171668561951744</v>
      </c>
      <c r="J20" s="10">
        <v>87</v>
      </c>
      <c r="K20" s="9">
        <v>71.3</v>
      </c>
      <c r="L20" s="13">
        <v>0.53249999999999997</v>
      </c>
      <c r="M20" s="10">
        <v>0</v>
      </c>
      <c r="N20" s="14">
        <f>Parameters!$B$2*I20+Parameters!$B$3*Parameters!$B$7</f>
        <v>40.785834280975877</v>
      </c>
      <c r="O20" s="14">
        <f>Parameters!$B$4*Parameters!$B$8*L20</f>
        <v>22.631249999999998</v>
      </c>
      <c r="P20" s="14">
        <f t="shared" si="3"/>
        <v>63.417084280975871</v>
      </c>
      <c r="Q20" s="11">
        <f>(O20-Parameters!$B$4*M20)/P20</f>
        <v>0.35686361579996223</v>
      </c>
      <c r="R20" s="15">
        <f>IF(Parameters!$B$4*M20/P20&gt;Parameters!$B$18,0,Parameters!$B$16+(Parameters!$B$17-Parameters!$B$16)*(Q20-MIN(Q$2:Q$33))/(MAX(Q$2:Q$33)-MIN(Q$2:Q$33)))</f>
        <v>1.7988955827640866E-2</v>
      </c>
      <c r="S20" s="16">
        <f>ROUND(P20*(1-R20)/Parameters!$B$10,0)*Parameters!$B$10</f>
        <v>62.28</v>
      </c>
    </row>
    <row r="21" spans="1:19" x14ac:dyDescent="0.35">
      <c r="A21" s="8" t="s">
        <v>83</v>
      </c>
      <c r="B21" s="8" t="s">
        <v>84</v>
      </c>
      <c r="C21" s="9">
        <v>8.5</v>
      </c>
      <c r="D21" s="10">
        <v>110</v>
      </c>
      <c r="E21" s="10">
        <v>-130</v>
      </c>
      <c r="F21" s="11">
        <f t="shared" si="0"/>
        <v>0.47619047619047616</v>
      </c>
      <c r="G21" s="11">
        <f t="shared" si="1"/>
        <v>0.56521739130434778</v>
      </c>
      <c r="H21" s="11">
        <f t="shared" si="2"/>
        <v>0.45725646123260438</v>
      </c>
      <c r="I21" s="12">
        <f>C21+Parameters!$B$5*NORMSINV(H21)</f>
        <v>8.210160455971792</v>
      </c>
      <c r="J21" s="10">
        <v>60</v>
      </c>
      <c r="K21" s="9">
        <v>55.32</v>
      </c>
      <c r="L21" s="13">
        <v>0.48039999999999999</v>
      </c>
      <c r="M21" s="10">
        <v>0</v>
      </c>
      <c r="N21" s="14">
        <f>Parameters!$B$2*I21+Parameters!$B$3*Parameters!$B$7</f>
        <v>41.250802279858959</v>
      </c>
      <c r="O21" s="14">
        <f>Parameters!$B$4*Parameters!$B$8*L21</f>
        <v>20.416999999999998</v>
      </c>
      <c r="P21" s="14">
        <f t="shared" si="3"/>
        <v>61.667802279858961</v>
      </c>
      <c r="Q21" s="11">
        <f>(O21-Parameters!$B$4*M21)/P21</f>
        <v>0.33108038952554503</v>
      </c>
      <c r="R21" s="15">
        <f>IF(Parameters!$B$4*M21/P21&gt;Parameters!$B$18,0,Parameters!$B$16+(Parameters!$B$17-Parameters!$B$16)*(Q21-MIN(Q$2:Q$33))/(MAX(Q$2:Q$33)-MIN(Q$2:Q$33)))</f>
        <v>1.5527625908740135E-2</v>
      </c>
      <c r="S21" s="16">
        <f>ROUND(P21*(1-R21)/Parameters!$B$10,0)*Parameters!$B$10</f>
        <v>60.71</v>
      </c>
    </row>
    <row r="22" spans="1:19" x14ac:dyDescent="0.35">
      <c r="A22" s="8" t="s">
        <v>85</v>
      </c>
      <c r="B22" s="8" t="s">
        <v>84</v>
      </c>
      <c r="C22" s="9">
        <v>7.5</v>
      </c>
      <c r="D22" s="10">
        <v>-125</v>
      </c>
      <c r="E22" s="10">
        <v>105</v>
      </c>
      <c r="F22" s="11">
        <f t="shared" si="0"/>
        <v>0.55555555555555558</v>
      </c>
      <c r="G22" s="11">
        <f t="shared" si="1"/>
        <v>0.48780487804878048</v>
      </c>
      <c r="H22" s="11">
        <f t="shared" si="2"/>
        <v>0.53246753246753253</v>
      </c>
      <c r="I22" s="12">
        <f>C22+Parameters!$B$5*NORMSINV(H22)</f>
        <v>7.7199800242638661</v>
      </c>
      <c r="J22" s="10">
        <v>65</v>
      </c>
      <c r="K22" s="9">
        <v>57.16</v>
      </c>
      <c r="L22" s="13">
        <v>0.48949999999999999</v>
      </c>
      <c r="M22" s="10">
        <v>0</v>
      </c>
      <c r="N22" s="14">
        <f>Parameters!$B$2*I22+Parameters!$B$3*Parameters!$B$7</f>
        <v>38.799900121319332</v>
      </c>
      <c r="O22" s="14">
        <f>Parameters!$B$4*Parameters!$B$8*L22</f>
        <v>20.803750000000001</v>
      </c>
      <c r="P22" s="14">
        <f t="shared" si="3"/>
        <v>59.603650121319333</v>
      </c>
      <c r="Q22" s="11">
        <f>(O22-Parameters!$B$4*M22)/P22</f>
        <v>0.34903483188790163</v>
      </c>
      <c r="R22" s="15">
        <f>IF(Parameters!$B$4*M22/P22&gt;Parameters!$B$18,0,Parameters!$B$16+(Parameters!$B$17-Parameters!$B$16)*(Q22-MIN(Q$2:Q$33))/(MAX(Q$2:Q$33)-MIN(Q$2:Q$33)))</f>
        <v>1.724160094403257E-2</v>
      </c>
      <c r="S22" s="16">
        <f>ROUND(P22*(1-R22)/Parameters!$B$10,0)*Parameters!$B$10</f>
        <v>58.58</v>
      </c>
    </row>
    <row r="23" spans="1:19" x14ac:dyDescent="0.35">
      <c r="A23" s="8" t="s">
        <v>86</v>
      </c>
      <c r="B23" s="8" t="s">
        <v>77</v>
      </c>
      <c r="C23" s="9">
        <v>7.5</v>
      </c>
      <c r="D23" s="10">
        <v>-125</v>
      </c>
      <c r="E23" s="10">
        <v>105</v>
      </c>
      <c r="F23" s="11">
        <f t="shared" si="0"/>
        <v>0.55555555555555558</v>
      </c>
      <c r="G23" s="11">
        <f t="shared" si="1"/>
        <v>0.48780487804878048</v>
      </c>
      <c r="H23" s="11">
        <f t="shared" si="2"/>
        <v>0.53246753246753253</v>
      </c>
      <c r="I23" s="12">
        <f>C23+Parameters!$B$5*NORMSINV(H23)</f>
        <v>7.7199800242638661</v>
      </c>
      <c r="J23" s="10">
        <v>62</v>
      </c>
      <c r="K23" s="9">
        <v>55.36</v>
      </c>
      <c r="L23" s="13">
        <v>0.48099999999999998</v>
      </c>
      <c r="M23" s="10">
        <v>0</v>
      </c>
      <c r="N23" s="14">
        <f>Parameters!$B$2*I23+Parameters!$B$3*Parameters!$B$7</f>
        <v>38.799900121319332</v>
      </c>
      <c r="O23" s="14">
        <f>Parameters!$B$4*Parameters!$B$8*L23</f>
        <v>20.442499999999999</v>
      </c>
      <c r="P23" s="14">
        <f t="shared" si="3"/>
        <v>59.242400121319335</v>
      </c>
      <c r="Q23" s="11">
        <f>(O23-Parameters!$B$4*M23)/P23</f>
        <v>0.34506535788787929</v>
      </c>
      <c r="R23" s="15">
        <f>IF(Parameters!$B$4*M23/P23&gt;Parameters!$B$18,0,Parameters!$B$16+(Parameters!$B$17-Parameters!$B$16)*(Q23-MIN(Q$2:Q$33))/(MAX(Q$2:Q$33)-MIN(Q$2:Q$33)))</f>
        <v>1.6862665235422365E-2</v>
      </c>
      <c r="S23" s="16">
        <f>ROUND(P23*(1-R23)/Parameters!$B$10,0)*Parameters!$B$10</f>
        <v>58.24</v>
      </c>
    </row>
    <row r="24" spans="1:19" x14ac:dyDescent="0.35">
      <c r="A24" s="8" t="s">
        <v>87</v>
      </c>
      <c r="B24" s="8" t="s">
        <v>70</v>
      </c>
      <c r="C24" s="9">
        <v>7.5</v>
      </c>
      <c r="D24" s="10">
        <v>-110</v>
      </c>
      <c r="E24" s="10">
        <v>-110</v>
      </c>
      <c r="F24" s="11">
        <f t="shared" si="0"/>
        <v>0.52380952380952384</v>
      </c>
      <c r="G24" s="11">
        <f t="shared" si="1"/>
        <v>0.52380952380952384</v>
      </c>
      <c r="H24" s="11">
        <f t="shared" si="2"/>
        <v>0.5</v>
      </c>
      <c r="I24" s="12">
        <f>C24+Parameters!$B$5*NORMSINV(H24)</f>
        <v>7.5</v>
      </c>
      <c r="J24" s="10">
        <v>75</v>
      </c>
      <c r="K24" s="9">
        <v>62.65</v>
      </c>
      <c r="L24" s="13">
        <v>0.49259999999999998</v>
      </c>
      <c r="M24" s="10">
        <v>0</v>
      </c>
      <c r="N24" s="14">
        <f>Parameters!$B$2*I24+Parameters!$B$3*Parameters!$B$7</f>
        <v>37.700000000000003</v>
      </c>
      <c r="O24" s="14">
        <f>Parameters!$B$4*Parameters!$B$8*L24</f>
        <v>20.935499999999998</v>
      </c>
      <c r="P24" s="14">
        <f t="shared" si="3"/>
        <v>58.6355</v>
      </c>
      <c r="Q24" s="11">
        <f>(O24-Parameters!$B$4*M24)/P24</f>
        <v>0.35704479368300768</v>
      </c>
      <c r="R24" s="15">
        <f>IF(Parameters!$B$4*M24/P24&gt;Parameters!$B$18,0,Parameters!$B$16+(Parameters!$B$17-Parameters!$B$16)*(Q24-MIN(Q$2:Q$33))/(MAX(Q$2:Q$33)-MIN(Q$2:Q$33)))</f>
        <v>1.8006251512030266E-2</v>
      </c>
      <c r="S24" s="16">
        <f>ROUND(P24*(1-R24)/Parameters!$B$10,0)*Parameters!$B$10</f>
        <v>57.58</v>
      </c>
    </row>
    <row r="25" spans="1:19" x14ac:dyDescent="0.35">
      <c r="A25" s="8" t="s">
        <v>88</v>
      </c>
      <c r="B25" s="8" t="s">
        <v>70</v>
      </c>
      <c r="C25" s="9">
        <v>7.5</v>
      </c>
      <c r="D25" s="10">
        <v>-125</v>
      </c>
      <c r="E25" s="10">
        <v>105</v>
      </c>
      <c r="F25" s="11">
        <f t="shared" si="0"/>
        <v>0.55555555555555558</v>
      </c>
      <c r="G25" s="11">
        <f t="shared" si="1"/>
        <v>0.48780487804878048</v>
      </c>
      <c r="H25" s="11">
        <f t="shared" si="2"/>
        <v>0.53246753246753253</v>
      </c>
      <c r="I25" s="12">
        <f>C25+Parameters!$B$5*NORMSINV(H25)</f>
        <v>7.7199800242638661</v>
      </c>
      <c r="J25" s="10">
        <v>62</v>
      </c>
      <c r="K25" s="9">
        <v>55.36</v>
      </c>
      <c r="L25" s="13">
        <v>0.45839999999999997</v>
      </c>
      <c r="M25" s="10">
        <v>0</v>
      </c>
      <c r="N25" s="14">
        <f>Parameters!$B$2*I25+Parameters!$B$3*Parameters!$B$7</f>
        <v>38.799900121319332</v>
      </c>
      <c r="O25" s="14">
        <f>Parameters!$B$4*Parameters!$B$8*L25</f>
        <v>19.481999999999999</v>
      </c>
      <c r="P25" s="14">
        <f t="shared" si="3"/>
        <v>58.281900121319332</v>
      </c>
      <c r="Q25" s="11">
        <f>(O25-Parameters!$B$4*M25)/P25</f>
        <v>0.33427187444895173</v>
      </c>
      <c r="R25" s="15">
        <f>IF(Parameters!$B$4*M25/P25&gt;Parameters!$B$18,0,Parameters!$B$16+(Parameters!$B$17-Parameters!$B$16)*(Q25-MIN(Q$2:Q$33))/(MAX(Q$2:Q$33)-MIN(Q$2:Q$33)))</f>
        <v>1.5832292874933415E-2</v>
      </c>
      <c r="S25" s="16">
        <f>ROUND(P25*(1-R25)/Parameters!$B$10,0)*Parameters!$B$10</f>
        <v>57.36</v>
      </c>
    </row>
    <row r="26" spans="1:19" x14ac:dyDescent="0.35">
      <c r="A26" s="8" t="s">
        <v>89</v>
      </c>
      <c r="B26" s="8" t="s">
        <v>84</v>
      </c>
      <c r="C26" s="9">
        <v>7.5</v>
      </c>
      <c r="D26" s="10">
        <v>115</v>
      </c>
      <c r="E26" s="10">
        <v>-140</v>
      </c>
      <c r="F26" s="11">
        <f t="shared" si="0"/>
        <v>0.46511627906976744</v>
      </c>
      <c r="G26" s="11">
        <f t="shared" si="1"/>
        <v>0.58333333333333337</v>
      </c>
      <c r="H26" s="11">
        <f t="shared" si="2"/>
        <v>0.44362292051756003</v>
      </c>
      <c r="I26" s="12">
        <f>C26+Parameters!$B$5*NORMSINV(H26)</f>
        <v>7.1171668561951744</v>
      </c>
      <c r="J26" s="10">
        <v>62</v>
      </c>
      <c r="K26" s="9">
        <v>53.95</v>
      </c>
      <c r="L26" s="13">
        <v>0.47339999999999999</v>
      </c>
      <c r="M26" s="10">
        <v>0</v>
      </c>
      <c r="N26" s="14">
        <f>Parameters!$B$2*I26+Parameters!$B$3*Parameters!$B$7</f>
        <v>35.785834280975877</v>
      </c>
      <c r="O26" s="14">
        <f>Parameters!$B$4*Parameters!$B$8*L26</f>
        <v>20.119499999999999</v>
      </c>
      <c r="P26" s="14">
        <f t="shared" si="3"/>
        <v>55.905334280975879</v>
      </c>
      <c r="Q26" s="11">
        <f>(O26-Parameters!$B$4*M26)/P26</f>
        <v>0.35988515691330902</v>
      </c>
      <c r="R26" s="15">
        <f>IF(Parameters!$B$4*M26/P26&gt;Parameters!$B$18,0,Parameters!$B$16+(Parameters!$B$17-Parameters!$B$16)*(Q26-MIN(Q$2:Q$33))/(MAX(Q$2:Q$33)-MIN(Q$2:Q$33)))</f>
        <v>1.8277399541562281E-2</v>
      </c>
      <c r="S26" s="16">
        <f>ROUND(P26*(1-R26)/Parameters!$B$10,0)*Parameters!$B$10</f>
        <v>54.88</v>
      </c>
    </row>
    <row r="27" spans="1:19" x14ac:dyDescent="0.35">
      <c r="A27" s="8" t="s">
        <v>90</v>
      </c>
      <c r="B27" s="8" t="s">
        <v>84</v>
      </c>
      <c r="C27" s="9">
        <v>7.5</v>
      </c>
      <c r="D27" s="10">
        <v>110</v>
      </c>
      <c r="E27" s="10">
        <v>-130</v>
      </c>
      <c r="F27" s="11">
        <f t="shared" si="0"/>
        <v>0.47619047619047616</v>
      </c>
      <c r="G27" s="11">
        <f t="shared" si="1"/>
        <v>0.56521739130434778</v>
      </c>
      <c r="H27" s="11">
        <f t="shared" si="2"/>
        <v>0.45725646123260438</v>
      </c>
      <c r="I27" s="12">
        <f>C27+Parameters!$B$5*NORMSINV(H27)</f>
        <v>7.210160455971792</v>
      </c>
      <c r="J27" s="10">
        <v>55</v>
      </c>
      <c r="K27" s="9">
        <v>49.97</v>
      </c>
      <c r="L27" s="13">
        <v>0.45219999999999999</v>
      </c>
      <c r="M27" s="10">
        <v>0</v>
      </c>
      <c r="N27" s="14">
        <f>Parameters!$B$2*I27+Parameters!$B$3*Parameters!$B$7</f>
        <v>36.250802279858959</v>
      </c>
      <c r="O27" s="14">
        <f>Parameters!$B$4*Parameters!$B$8*L27</f>
        <v>19.218499999999999</v>
      </c>
      <c r="P27" s="14">
        <f t="shared" si="3"/>
        <v>55.469302279858958</v>
      </c>
      <c r="Q27" s="11">
        <f>(O27-Parameters!$B$4*M27)/P27</f>
        <v>0.34647091652671252</v>
      </c>
      <c r="R27" s="15">
        <f>IF(Parameters!$B$4*M27/P27&gt;Parameters!$B$18,0,Parameters!$B$16+(Parameters!$B$17-Parameters!$B$16)*(Q27-MIN(Q$2:Q$33))/(MAX(Q$2:Q$33)-MIN(Q$2:Q$33)))</f>
        <v>1.6996843305059919E-2</v>
      </c>
      <c r="S27" s="16">
        <f>ROUND(P27*(1-R27)/Parameters!$B$10,0)*Parameters!$B$10</f>
        <v>54.53</v>
      </c>
    </row>
    <row r="28" spans="1:19" x14ac:dyDescent="0.35">
      <c r="A28" s="8" t="s">
        <v>91</v>
      </c>
      <c r="B28" s="8" t="s">
        <v>77</v>
      </c>
      <c r="C28" s="9">
        <v>6.5</v>
      </c>
      <c r="D28" s="10">
        <v>-105</v>
      </c>
      <c r="E28" s="10">
        <v>-115</v>
      </c>
      <c r="F28" s="11">
        <f t="shared" si="0"/>
        <v>0.51219512195121952</v>
      </c>
      <c r="G28" s="11">
        <f t="shared" si="1"/>
        <v>0.53488372093023251</v>
      </c>
      <c r="H28" s="11">
        <f t="shared" si="2"/>
        <v>0.48916576381365112</v>
      </c>
      <c r="I28" s="12">
        <f>C28+Parameters!$B$5*NORMSINV(H28)</f>
        <v>6.4266659970613293</v>
      </c>
      <c r="J28" s="10">
        <v>55</v>
      </c>
      <c r="K28" s="9">
        <v>48.12</v>
      </c>
      <c r="L28" s="13">
        <v>0.44230000000000003</v>
      </c>
      <c r="M28" s="10">
        <v>0</v>
      </c>
      <c r="N28" s="14">
        <f>Parameters!$B$2*I28+Parameters!$B$3*Parameters!$B$7</f>
        <v>32.333329985306648</v>
      </c>
      <c r="O28" s="14">
        <f>Parameters!$B$4*Parameters!$B$8*L28</f>
        <v>18.797750000000001</v>
      </c>
      <c r="P28" s="14">
        <f t="shared" si="3"/>
        <v>51.131079985306648</v>
      </c>
      <c r="Q28" s="11">
        <f>(O28-Parameters!$B$4*M28)/P28</f>
        <v>0.36763843058667722</v>
      </c>
      <c r="R28" s="15">
        <f>IF(Parameters!$B$4*M28/P28&gt;Parameters!$B$18,0,Parameters!$B$16+(Parameters!$B$17-Parameters!$B$16)*(Q28-MIN(Q$2:Q$33))/(MAX(Q$2:Q$33)-MIN(Q$2:Q$33)))</f>
        <v>1.9017546032873242E-2</v>
      </c>
      <c r="S28" s="16">
        <f>ROUND(P28*(1-R28)/Parameters!$B$10,0)*Parameters!$B$10</f>
        <v>50.160000000000004</v>
      </c>
    </row>
    <row r="29" spans="1:19" x14ac:dyDescent="0.35">
      <c r="A29" s="8" t="s">
        <v>92</v>
      </c>
      <c r="B29" s="8" t="s">
        <v>68</v>
      </c>
      <c r="C29" s="9">
        <v>6.5</v>
      </c>
      <c r="D29" s="10">
        <v>125</v>
      </c>
      <c r="E29" s="10">
        <v>-150</v>
      </c>
      <c r="F29" s="11">
        <f t="shared" si="0"/>
        <v>0.44444444444444442</v>
      </c>
      <c r="G29" s="11">
        <f t="shared" si="1"/>
        <v>0.6</v>
      </c>
      <c r="H29" s="11">
        <f t="shared" si="2"/>
        <v>0.42553191489361708</v>
      </c>
      <c r="I29" s="12">
        <f>C29+Parameters!$B$5*NORMSINV(H29)</f>
        <v>5.9930446812244815</v>
      </c>
      <c r="J29" s="10">
        <v>72</v>
      </c>
      <c r="K29" s="9">
        <v>57.3</v>
      </c>
      <c r="L29" s="13">
        <v>0.47239999999999999</v>
      </c>
      <c r="M29" s="10">
        <v>0</v>
      </c>
      <c r="N29" s="14">
        <f>Parameters!$B$2*I29+Parameters!$B$3*Parameters!$B$7</f>
        <v>30.165223406122408</v>
      </c>
      <c r="O29" s="14">
        <f>Parameters!$B$4*Parameters!$B$8*L29</f>
        <v>20.076999999999998</v>
      </c>
      <c r="P29" s="14">
        <f t="shared" si="3"/>
        <v>50.242223406122406</v>
      </c>
      <c r="Q29" s="11">
        <f>(O29-Parameters!$B$4*M29)/P29</f>
        <v>0.39960413052805821</v>
      </c>
      <c r="R29" s="15">
        <f>IF(Parameters!$B$4*M29/P29&gt;Parameters!$B$18,0,Parameters!$B$16+(Parameters!$B$17-Parameters!$B$16)*(Q29-MIN(Q$2:Q$33))/(MAX(Q$2:Q$33)-MIN(Q$2:Q$33)))</f>
        <v>2.2069070027850971E-2</v>
      </c>
      <c r="S29" s="16">
        <f>ROUND(P29*(1-R29)/Parameters!$B$10,0)*Parameters!$B$10</f>
        <v>49.13</v>
      </c>
    </row>
    <row r="30" spans="1:19" x14ac:dyDescent="0.35">
      <c r="A30" s="8" t="s">
        <v>93</v>
      </c>
      <c r="B30" s="8" t="s">
        <v>60</v>
      </c>
      <c r="C30" s="9">
        <v>5.5</v>
      </c>
      <c r="D30" s="10">
        <v>-120</v>
      </c>
      <c r="E30" s="10">
        <v>100</v>
      </c>
      <c r="F30" s="11">
        <f t="shared" si="0"/>
        <v>0.54545454545454541</v>
      </c>
      <c r="G30" s="11">
        <f t="shared" si="1"/>
        <v>0.5</v>
      </c>
      <c r="H30" s="11">
        <f t="shared" si="2"/>
        <v>0.52173913043478259</v>
      </c>
      <c r="I30" s="12">
        <f>C30+Parameters!$B$5*NORMSINV(H30)</f>
        <v>5.6472010700898725</v>
      </c>
      <c r="J30" s="10">
        <v>68</v>
      </c>
      <c r="K30" s="9">
        <v>54.09</v>
      </c>
      <c r="L30" s="13">
        <v>0.45590000000000003</v>
      </c>
      <c r="M30" s="10">
        <v>0</v>
      </c>
      <c r="N30" s="14">
        <f>Parameters!$B$2*I30+Parameters!$B$3*Parameters!$B$7</f>
        <v>28.43600535044936</v>
      </c>
      <c r="O30" s="14">
        <f>Parameters!$B$4*Parameters!$B$8*L30</f>
        <v>19.37575</v>
      </c>
      <c r="P30" s="14">
        <f t="shared" si="3"/>
        <v>47.81175535044936</v>
      </c>
      <c r="Q30" s="11">
        <f>(O30-Parameters!$B$4*M30)/P30</f>
        <v>0.40525075596953369</v>
      </c>
      <c r="R30" s="15">
        <f>IF(Parameters!$B$4*M30/P30&gt;Parameters!$B$18,0,Parameters!$B$16+(Parameters!$B$17-Parameters!$B$16)*(Q30-MIN(Q$2:Q$33))/(MAX(Q$2:Q$33)-MIN(Q$2:Q$33)))</f>
        <v>2.2608110720121505E-2</v>
      </c>
      <c r="S30" s="16">
        <f>ROUND(P30*(1-R30)/Parameters!$B$10,0)*Parameters!$B$10</f>
        <v>46.730000000000004</v>
      </c>
    </row>
    <row r="31" spans="1:19" x14ac:dyDescent="0.35">
      <c r="A31" s="8" t="s">
        <v>94</v>
      </c>
      <c r="B31" s="8" t="s">
        <v>62</v>
      </c>
      <c r="C31" s="9">
        <v>5.5</v>
      </c>
      <c r="D31" s="10">
        <v>-110</v>
      </c>
      <c r="E31" s="10">
        <v>-110</v>
      </c>
      <c r="F31" s="11">
        <f t="shared" si="0"/>
        <v>0.52380952380952384</v>
      </c>
      <c r="G31" s="11">
        <f t="shared" si="1"/>
        <v>0.52380952380952384</v>
      </c>
      <c r="H31" s="11">
        <f t="shared" si="2"/>
        <v>0.5</v>
      </c>
      <c r="I31" s="12">
        <f>C31+Parameters!$B$5*NORMSINV(H31)</f>
        <v>5.5</v>
      </c>
      <c r="J31" s="10">
        <v>65</v>
      </c>
      <c r="K31" s="9">
        <v>51.94</v>
      </c>
      <c r="L31" s="13">
        <v>0.45150000000000001</v>
      </c>
      <c r="M31" s="10">
        <v>0</v>
      </c>
      <c r="N31" s="14">
        <f>Parameters!$B$2*I31+Parameters!$B$3*Parameters!$B$7</f>
        <v>27.7</v>
      </c>
      <c r="O31" s="14">
        <f>Parameters!$B$4*Parameters!$B$8*L31</f>
        <v>19.188749999999999</v>
      </c>
      <c r="P31" s="14">
        <f t="shared" si="3"/>
        <v>46.888750000000002</v>
      </c>
      <c r="Q31" s="11">
        <f>(O31-Parameters!$B$4*M31)/P31</f>
        <v>0.40923995627949133</v>
      </c>
      <c r="R31" s="15">
        <f>IF(Parameters!$B$4*M31/P31&gt;Parameters!$B$18,0,Parameters!$B$16+(Parameters!$B$17-Parameters!$B$16)*(Q31-MIN(Q$2:Q$33))/(MAX(Q$2:Q$33)-MIN(Q$2:Q$33)))</f>
        <v>2.2988929550584521E-2</v>
      </c>
      <c r="S31" s="16">
        <f>ROUND(P31*(1-R31)/Parameters!$B$10,0)*Parameters!$B$10</f>
        <v>45.81</v>
      </c>
    </row>
    <row r="32" spans="1:19" x14ac:dyDescent="0.35">
      <c r="A32" s="8" t="s">
        <v>95</v>
      </c>
      <c r="B32" s="8" t="s">
        <v>62</v>
      </c>
      <c r="C32" s="9">
        <v>4.5</v>
      </c>
      <c r="D32" s="10">
        <v>120</v>
      </c>
      <c r="E32" s="10">
        <v>-145</v>
      </c>
      <c r="F32" s="11">
        <f t="shared" si="0"/>
        <v>0.45454545454545453</v>
      </c>
      <c r="G32" s="11">
        <f t="shared" si="1"/>
        <v>0.59183673469387754</v>
      </c>
      <c r="H32" s="11">
        <f t="shared" si="2"/>
        <v>0.43439716312056736</v>
      </c>
      <c r="I32" s="12">
        <f>C32+Parameters!$B$5*NORMSINV(H32)</f>
        <v>4.0539866235437021</v>
      </c>
      <c r="J32" s="10">
        <v>70</v>
      </c>
      <c r="K32" s="9">
        <v>51.54</v>
      </c>
      <c r="L32" s="13">
        <v>0.44940000000000002</v>
      </c>
      <c r="M32" s="10">
        <v>0</v>
      </c>
      <c r="N32" s="14">
        <f>Parameters!$B$2*I32+Parameters!$B$3*Parameters!$B$7</f>
        <v>20.469933117718508</v>
      </c>
      <c r="O32" s="14">
        <f>Parameters!$B$4*Parameters!$B$8*L32</f>
        <v>19.099500000000003</v>
      </c>
      <c r="P32" s="14">
        <f t="shared" si="3"/>
        <v>39.569433117718511</v>
      </c>
      <c r="Q32" s="11">
        <f>(O32-Parameters!$B$4*M32)/P32</f>
        <v>0.4826831848507725</v>
      </c>
      <c r="R32" s="15">
        <f>IF(Parameters!$B$4*M32/P32&gt;Parameters!$B$18,0,Parameters!$B$16+(Parameters!$B$17-Parameters!$B$16)*(Q32-MIN(Q$2:Q$33))/(MAX(Q$2:Q$33)-MIN(Q$2:Q$33)))</f>
        <v>0.03</v>
      </c>
      <c r="S32" s="16">
        <f>ROUND(P32*(1-R32)/Parameters!$B$10,0)*Parameters!$B$10</f>
        <v>38.380000000000003</v>
      </c>
    </row>
    <row r="33" spans="1:19" x14ac:dyDescent="0.35">
      <c r="A33" s="8" t="s">
        <v>96</v>
      </c>
      <c r="B33" s="8" t="s">
        <v>58</v>
      </c>
      <c r="C33" s="9">
        <v>3.5</v>
      </c>
      <c r="D33" s="10">
        <v>-145</v>
      </c>
      <c r="E33" s="10">
        <v>120</v>
      </c>
      <c r="F33" s="11">
        <f t="shared" si="0"/>
        <v>0.59183673469387754</v>
      </c>
      <c r="G33" s="11">
        <f t="shared" si="1"/>
        <v>0.45454545454545453</v>
      </c>
      <c r="H33" s="11">
        <f t="shared" si="2"/>
        <v>0.56560283687943258</v>
      </c>
      <c r="I33" s="12">
        <f>C33+Parameters!$B$5*NORMSINV(H33)</f>
        <v>3.9460133764562975</v>
      </c>
      <c r="J33" s="10">
        <v>55</v>
      </c>
      <c r="K33" s="9">
        <v>42.28</v>
      </c>
      <c r="L33" s="13">
        <v>0.39389999999999997</v>
      </c>
      <c r="M33" s="10">
        <v>0</v>
      </c>
      <c r="N33" s="14">
        <f>Parameters!$B$2*I33+Parameters!$B$3*Parameters!$B$7</f>
        <v>19.930066882281487</v>
      </c>
      <c r="O33" s="14">
        <f>Parameters!$B$4*Parameters!$B$8*L33</f>
        <v>16.740749999999998</v>
      </c>
      <c r="P33" s="14">
        <f t="shared" si="3"/>
        <v>36.670816882281486</v>
      </c>
      <c r="Q33" s="11">
        <f>(O33-Parameters!$B$4*M33)/P33</f>
        <v>0.45651423729501789</v>
      </c>
      <c r="R33" s="15">
        <f>IF(Parameters!$B$4*M33/P33&gt;Parameters!$B$18,0,Parameters!$B$16+(Parameters!$B$17-Parameters!$B$16)*(Q33-MIN(Q$2:Q$33))/(MAX(Q$2:Q$33)-MIN(Q$2:Q$33)))</f>
        <v>2.7501848183016847E-2</v>
      </c>
      <c r="S33" s="16">
        <f>ROUND(P33*(1-R33)/Parameters!$B$10,0)*Parameters!$B$10</f>
        <v>35.660000000000004</v>
      </c>
    </row>
    <row r="35" spans="1:19" x14ac:dyDescent="0.35">
      <c r="A35" s="6" t="s">
        <v>97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4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2" customWidth="1"/>
    <col min="2" max="2" width="13" customWidth="1"/>
    <col min="3" max="3" width="9" customWidth="1"/>
    <col min="4" max="5" width="7" customWidth="1"/>
    <col min="6" max="7" width="11" customWidth="1"/>
    <col min="8" max="8" width="12" customWidth="1"/>
    <col min="9" max="9" width="8" customWidth="1"/>
    <col min="10" max="10" width="7" customWidth="1"/>
    <col min="11" max="11" width="10" customWidth="1"/>
    <col min="12" max="12" width="11" customWidth="1"/>
    <col min="13" max="13" width="10" customWidth="1"/>
    <col min="14" max="15" width="12" customWidth="1"/>
    <col min="16" max="16" width="9" customWidth="1"/>
    <col min="17" max="17" width="10" customWidth="1"/>
    <col min="18" max="18" width="9" customWidth="1"/>
    <col min="19" max="19" width="10" customWidth="1"/>
  </cols>
  <sheetData>
    <row r="1" spans="1:19" ht="42.5" x14ac:dyDescent="0.35">
      <c r="A1" s="7" t="s">
        <v>38</v>
      </c>
      <c r="B1" s="7" t="s">
        <v>39</v>
      </c>
      <c r="C1" s="7" t="s">
        <v>40</v>
      </c>
      <c r="D1" s="7" t="s">
        <v>41</v>
      </c>
      <c r="E1" s="7" t="s">
        <v>42</v>
      </c>
      <c r="F1" s="7" t="s">
        <v>43</v>
      </c>
      <c r="G1" s="7" t="s">
        <v>44</v>
      </c>
      <c r="H1" s="7" t="s">
        <v>45</v>
      </c>
      <c r="I1" s="7" t="s">
        <v>46</v>
      </c>
      <c r="J1" s="7" t="s">
        <v>47</v>
      </c>
      <c r="K1" s="7" t="s">
        <v>48</v>
      </c>
      <c r="L1" s="7" t="s">
        <v>49</v>
      </c>
      <c r="M1" s="7" t="s">
        <v>50</v>
      </c>
      <c r="N1" s="7" t="s">
        <v>51</v>
      </c>
      <c r="O1" s="7" t="s">
        <v>52</v>
      </c>
      <c r="P1" s="7" t="s">
        <v>53</v>
      </c>
      <c r="Q1" s="7" t="s">
        <v>54</v>
      </c>
      <c r="R1" s="7" t="s">
        <v>55</v>
      </c>
      <c r="S1" s="7" t="s">
        <v>56</v>
      </c>
    </row>
    <row r="2" spans="1:19" x14ac:dyDescent="0.35">
      <c r="A2" s="8" t="s">
        <v>98</v>
      </c>
      <c r="B2" s="8" t="s">
        <v>99</v>
      </c>
      <c r="C2" s="9">
        <v>10.5</v>
      </c>
      <c r="D2" s="10">
        <v>-220</v>
      </c>
      <c r="E2" s="10">
        <v>170</v>
      </c>
      <c r="F2" s="11">
        <f t="shared" ref="F2:F33" si="0">IF(D2&gt;0,100/(D2+100),-D2/(-D2+100))</f>
        <v>0.6875</v>
      </c>
      <c r="G2" s="11">
        <f t="shared" ref="G2:G33" si="1">IF(E2&gt;0,100/(E2+100),-E2/(-E2+100))</f>
        <v>0.37037037037037035</v>
      </c>
      <c r="H2" s="11">
        <f t="shared" ref="H2:H33" si="2">F2/(F2+G2)</f>
        <v>0.64989059080962808</v>
      </c>
      <c r="I2" s="12">
        <f>C2+Parameters!$B$6*NORMSINV(H2)</f>
        <v>11.347055222715312</v>
      </c>
      <c r="J2" s="10">
        <v>56</v>
      </c>
      <c r="K2" s="9">
        <v>71.42</v>
      </c>
      <c r="L2" s="13">
        <v>0.59450000000000003</v>
      </c>
      <c r="M2" s="10">
        <v>1</v>
      </c>
      <c r="N2" s="14">
        <f>Parameters!$B$2*I2</f>
        <v>56.73527611357656</v>
      </c>
      <c r="O2" s="14">
        <f>Parameters!$B$4*((Parameters!$B$9-M2)*L2+M2)</f>
        <v>18.848750000000003</v>
      </c>
      <c r="P2" s="14">
        <f t="shared" ref="P2:P33" si="3">N2+O2</f>
        <v>75.584026113576556</v>
      </c>
      <c r="Q2" s="11">
        <f>(O2-Parameters!$B$4*M2)/P2</f>
        <v>0.2162990097330024</v>
      </c>
      <c r="R2" s="15">
        <f>IF(Parameters!$B$4*M2/P2&gt;Parameters!$B$18,0,Parameters!$B$16+(Parameters!$B$17-Parameters!$B$16)*(Q2-MIN(Q$2:Q$139))/(MAX(Q$2:Q$139)-MIN(Q$2:Q$139)))</f>
        <v>1.9662104339107724E-2</v>
      </c>
      <c r="S2" s="16">
        <f>ROUND(P2*(1-R2)/Parameters!$B$10,0)*Parameters!$B$10</f>
        <v>74.100000000000009</v>
      </c>
    </row>
    <row r="3" spans="1:19" x14ac:dyDescent="0.35">
      <c r="A3" s="8" t="s">
        <v>100</v>
      </c>
      <c r="B3" s="8" t="s">
        <v>101</v>
      </c>
      <c r="C3" s="9">
        <v>11.5</v>
      </c>
      <c r="D3" s="10">
        <v>150</v>
      </c>
      <c r="E3" s="10">
        <v>-200</v>
      </c>
      <c r="F3" s="11">
        <f t="shared" si="0"/>
        <v>0.4</v>
      </c>
      <c r="G3" s="11">
        <f t="shared" si="1"/>
        <v>0.66666666666666663</v>
      </c>
      <c r="H3" s="11">
        <f t="shared" si="2"/>
        <v>0.375</v>
      </c>
      <c r="I3" s="12">
        <f>C3+Parameters!$B$6*NORMSINV(H3)</f>
        <v>10.798993399278375</v>
      </c>
      <c r="J3" s="10">
        <v>94</v>
      </c>
      <c r="K3" s="9">
        <v>92.4</v>
      </c>
      <c r="L3" s="13">
        <v>0.68169999999999997</v>
      </c>
      <c r="M3" s="10">
        <v>0</v>
      </c>
      <c r="N3" s="14">
        <f>Parameters!$B$2*I3</f>
        <v>53.994966996391874</v>
      </c>
      <c r="O3" s="14">
        <f>Parameters!$B$4*((Parameters!$B$9-M3)*L3+M3)</f>
        <v>20.450999999999997</v>
      </c>
      <c r="P3" s="14">
        <f t="shared" si="3"/>
        <v>74.445966996391874</v>
      </c>
      <c r="Q3" s="11">
        <f>(O3-Parameters!$B$4*M3)/P3</f>
        <v>0.27470930696610041</v>
      </c>
      <c r="R3" s="15">
        <f>IF(Parameters!$B$4*M3/P3&gt;Parameters!$B$18,0,Parameters!$B$16+(Parameters!$B$17-Parameters!$B$16)*(Q3-MIN(Q$2:Q$139))/(MAX(Q$2:Q$139)-MIN(Q$2:Q$139)))</f>
        <v>2.2813119616354335E-2</v>
      </c>
      <c r="S3" s="16">
        <f>ROUND(P3*(1-R3)/Parameters!$B$10,0)*Parameters!$B$10</f>
        <v>72.75</v>
      </c>
    </row>
    <row r="4" spans="1:19" x14ac:dyDescent="0.35">
      <c r="A4" s="8" t="s">
        <v>102</v>
      </c>
      <c r="B4" s="8" t="s">
        <v>103</v>
      </c>
      <c r="C4" s="9">
        <v>10.5</v>
      </c>
      <c r="D4" s="10">
        <v>-125</v>
      </c>
      <c r="E4" s="10">
        <v>100</v>
      </c>
      <c r="F4" s="11">
        <f t="shared" si="0"/>
        <v>0.55555555555555558</v>
      </c>
      <c r="G4" s="11">
        <f t="shared" si="1"/>
        <v>0.5</v>
      </c>
      <c r="H4" s="11">
        <f t="shared" si="2"/>
        <v>0.52631578947368418</v>
      </c>
      <c r="I4" s="12">
        <f>C4+Parameters!$B$6*NORMSINV(H4)</f>
        <v>10.64522598722685</v>
      </c>
      <c r="J4" s="10">
        <v>74</v>
      </c>
      <c r="K4" s="9">
        <v>79.88</v>
      </c>
      <c r="L4" s="13">
        <v>0.63139999999999996</v>
      </c>
      <c r="M4" s="10">
        <v>1</v>
      </c>
      <c r="N4" s="14">
        <f>Parameters!$B$2*I4</f>
        <v>53.226129936134249</v>
      </c>
      <c r="O4" s="14">
        <f>Parameters!$B$4*((Parameters!$B$9-M4)*L4+M4)</f>
        <v>19.863499999999998</v>
      </c>
      <c r="P4" s="14">
        <f t="shared" si="3"/>
        <v>73.089629936134244</v>
      </c>
      <c r="Q4" s="11">
        <f>(O4-Parameters!$B$4*M4)/P4</f>
        <v>0.23756448096908184</v>
      </c>
      <c r="R4" s="15">
        <f>IF(Parameters!$B$4*M4/P4&gt;Parameters!$B$18,0,Parameters!$B$16+(Parameters!$B$17-Parameters!$B$16)*(Q4-MIN(Q$2:Q$139))/(MAX(Q$2:Q$139)-MIN(Q$2:Q$139)))</f>
        <v>2.0809296322660327E-2</v>
      </c>
      <c r="S4" s="16">
        <f>ROUND(P4*(1-R4)/Parameters!$B$10,0)*Parameters!$B$10</f>
        <v>71.570000000000007</v>
      </c>
    </row>
    <row r="5" spans="1:19" x14ac:dyDescent="0.35">
      <c r="A5" s="8" t="s">
        <v>104</v>
      </c>
      <c r="B5" s="8" t="s">
        <v>105</v>
      </c>
      <c r="C5" s="9">
        <v>9.5</v>
      </c>
      <c r="D5" s="10">
        <v>175</v>
      </c>
      <c r="E5" s="10">
        <v>-235</v>
      </c>
      <c r="F5" s="11">
        <f t="shared" si="0"/>
        <v>0.36363636363636365</v>
      </c>
      <c r="G5" s="11">
        <f t="shared" si="1"/>
        <v>0.70149253731343286</v>
      </c>
      <c r="H5" s="11">
        <f t="shared" si="2"/>
        <v>0.3414012738853503</v>
      </c>
      <c r="I5" s="12">
        <f>C5+Parameters!$B$6*NORMSINV(H5)</f>
        <v>8.6009880321024603</v>
      </c>
      <c r="J5" s="10">
        <v>30</v>
      </c>
      <c r="K5" s="9">
        <v>46.67</v>
      </c>
      <c r="L5" s="13">
        <v>0.52539999999999998</v>
      </c>
      <c r="M5" s="10">
        <v>10</v>
      </c>
      <c r="N5" s="14">
        <f>Parameters!$B$2*I5</f>
        <v>43.004940160512305</v>
      </c>
      <c r="O5" s="14">
        <f>Parameters!$B$4*((Parameters!$B$9-M5)*L5+M5)</f>
        <v>27.627000000000002</v>
      </c>
      <c r="P5" s="14">
        <f t="shared" si="3"/>
        <v>70.631940160512301</v>
      </c>
      <c r="Q5" s="11">
        <f>(O5-Parameters!$B$4*M5)/P5</f>
        <v>3.7192805323343799E-2</v>
      </c>
      <c r="R5" s="15">
        <f>IF(Parameters!$B$4*M5/P5&gt;Parameters!$B$18,0,Parameters!$B$16+(Parameters!$B$17-Parameters!$B$16)*(Q5-MIN(Q$2:Q$139))/(MAX(Q$2:Q$139)-MIN(Q$2:Q$139)))</f>
        <v>0</v>
      </c>
      <c r="S5" s="16">
        <f>ROUND(P5*(1-R5)/Parameters!$B$10,0)*Parameters!$B$10</f>
        <v>70.63</v>
      </c>
    </row>
    <row r="6" spans="1:19" x14ac:dyDescent="0.35">
      <c r="A6" s="8" t="s">
        <v>106</v>
      </c>
      <c r="B6" s="8" t="s">
        <v>107</v>
      </c>
      <c r="C6" s="9">
        <v>9.5</v>
      </c>
      <c r="D6" s="10">
        <v>-185</v>
      </c>
      <c r="E6" s="10">
        <v>140</v>
      </c>
      <c r="F6" s="11">
        <f t="shared" si="0"/>
        <v>0.64912280701754388</v>
      </c>
      <c r="G6" s="11">
        <f t="shared" si="1"/>
        <v>0.41666666666666669</v>
      </c>
      <c r="H6" s="11">
        <f t="shared" si="2"/>
        <v>0.60905349794238683</v>
      </c>
      <c r="I6" s="12">
        <f>C6+Parameters!$B$6*NORMSINV(H6)</f>
        <v>10.109076539390438</v>
      </c>
      <c r="J6" s="10">
        <v>100</v>
      </c>
      <c r="K6" s="9">
        <v>93.7</v>
      </c>
      <c r="L6" s="13">
        <v>0.63290000000000002</v>
      </c>
      <c r="M6" s="10">
        <v>1</v>
      </c>
      <c r="N6" s="14">
        <f>Parameters!$B$2*I6</f>
        <v>50.545382696952188</v>
      </c>
      <c r="O6" s="14">
        <f>Parameters!$B$4*((Parameters!$B$9-M6)*L6+M6)</f>
        <v>19.90475</v>
      </c>
      <c r="P6" s="14">
        <f t="shared" si="3"/>
        <v>70.450132696952181</v>
      </c>
      <c r="Q6" s="11">
        <f>(O6-Parameters!$B$4*M6)/P6</f>
        <v>0.24705063473575212</v>
      </c>
      <c r="R6" s="15">
        <f>IF(Parameters!$B$4*M6/P6&gt;Parameters!$B$18,0,Parameters!$B$16+(Parameters!$B$17-Parameters!$B$16)*(Q6-MIN(Q$2:Q$139))/(MAX(Q$2:Q$139)-MIN(Q$2:Q$139)))</f>
        <v>2.1321038547182869E-2</v>
      </c>
      <c r="S6" s="16">
        <f>ROUND(P6*(1-R6)/Parameters!$B$10,0)*Parameters!$B$10</f>
        <v>68.95</v>
      </c>
    </row>
    <row r="7" spans="1:19" x14ac:dyDescent="0.35">
      <c r="A7" s="8" t="s">
        <v>108</v>
      </c>
      <c r="B7" s="8" t="s">
        <v>109</v>
      </c>
      <c r="C7" s="9">
        <v>9.5</v>
      </c>
      <c r="D7" s="10">
        <v>-200</v>
      </c>
      <c r="E7" s="10">
        <v>154</v>
      </c>
      <c r="F7" s="11">
        <f t="shared" si="0"/>
        <v>0.66666666666666663</v>
      </c>
      <c r="G7" s="11">
        <f t="shared" si="1"/>
        <v>0.39370078740157483</v>
      </c>
      <c r="H7" s="11">
        <f t="shared" si="2"/>
        <v>0.62871287128712861</v>
      </c>
      <c r="I7" s="12">
        <f>C7+Parameters!$B$6*NORMSINV(H7)</f>
        <v>10.222581810690341</v>
      </c>
      <c r="J7" s="10">
        <v>95</v>
      </c>
      <c r="K7" s="9">
        <v>91.08</v>
      </c>
      <c r="L7" s="13">
        <v>0.60299999999999998</v>
      </c>
      <c r="M7" s="10">
        <v>1</v>
      </c>
      <c r="N7" s="14">
        <f>Parameters!$B$2*I7</f>
        <v>51.112909053451709</v>
      </c>
      <c r="O7" s="14">
        <f>Parameters!$B$4*((Parameters!$B$9-M7)*L7+M7)</f>
        <v>19.0825</v>
      </c>
      <c r="P7" s="14">
        <f t="shared" si="3"/>
        <v>70.195409053451712</v>
      </c>
      <c r="Q7" s="11">
        <f>(O7-Parameters!$B$4*M7)/P7</f>
        <v>0.23623339793308876</v>
      </c>
      <c r="R7" s="15">
        <f>IF(Parameters!$B$4*M7/P7&gt;Parameters!$B$18,0,Parameters!$B$16+(Parameters!$B$17-Parameters!$B$16)*(Q7-MIN(Q$2:Q$139))/(MAX(Q$2:Q$139)-MIN(Q$2:Q$139)))</f>
        <v>2.0737489412228763E-2</v>
      </c>
      <c r="S7" s="16">
        <f>ROUND(P7*(1-R7)/Parameters!$B$10,0)*Parameters!$B$10</f>
        <v>68.739999999999995</v>
      </c>
    </row>
    <row r="8" spans="1:19" x14ac:dyDescent="0.35">
      <c r="A8" s="8" t="s">
        <v>110</v>
      </c>
      <c r="B8" s="8" t="s">
        <v>107</v>
      </c>
      <c r="C8" s="9">
        <v>10.5</v>
      </c>
      <c r="D8" s="10">
        <v>110</v>
      </c>
      <c r="E8" s="10">
        <v>-145</v>
      </c>
      <c r="F8" s="11">
        <f t="shared" si="0"/>
        <v>0.47619047619047616</v>
      </c>
      <c r="G8" s="11">
        <f t="shared" si="1"/>
        <v>0.59183673469387754</v>
      </c>
      <c r="H8" s="11">
        <f t="shared" si="2"/>
        <v>0.44585987261146492</v>
      </c>
      <c r="I8" s="12">
        <f>C8+Parameters!$B$6*NORMSINV(H8)</f>
        <v>10.2005174328217</v>
      </c>
      <c r="J8" s="10">
        <v>81</v>
      </c>
      <c r="K8" s="9">
        <v>82.6</v>
      </c>
      <c r="L8" s="13">
        <v>0.60250000000000004</v>
      </c>
      <c r="M8" s="10">
        <v>1</v>
      </c>
      <c r="N8" s="14">
        <f>Parameters!$B$2*I8</f>
        <v>51.002587164108498</v>
      </c>
      <c r="O8" s="14">
        <f>Parameters!$B$4*((Parameters!$B$9-M8)*L8+M8)</f>
        <v>19.068750000000001</v>
      </c>
      <c r="P8" s="14">
        <f t="shared" si="3"/>
        <v>70.071337164108499</v>
      </c>
      <c r="Q8" s="11">
        <f>(O8-Parameters!$B$4*M8)/P8</f>
        <v>0.23645545626160452</v>
      </c>
      <c r="R8" s="15">
        <f>IF(Parameters!$B$4*M8/P8&gt;Parameters!$B$18,0,Parameters!$B$16+(Parameters!$B$17-Parameters!$B$16)*(Q8-MIN(Q$2:Q$139))/(MAX(Q$2:Q$139)-MIN(Q$2:Q$139)))</f>
        <v>2.0749468621695903E-2</v>
      </c>
      <c r="S8" s="16">
        <f>ROUND(P8*(1-R8)/Parameters!$B$10,0)*Parameters!$B$10</f>
        <v>68.62</v>
      </c>
    </row>
    <row r="9" spans="1:19" x14ac:dyDescent="0.35">
      <c r="A9" s="8" t="s">
        <v>111</v>
      </c>
      <c r="B9" s="8" t="s">
        <v>107</v>
      </c>
      <c r="C9" s="9">
        <v>10.5</v>
      </c>
      <c r="D9" s="10">
        <v>-105</v>
      </c>
      <c r="E9" s="10">
        <v>-120</v>
      </c>
      <c r="F9" s="11">
        <f t="shared" si="0"/>
        <v>0.51219512195121952</v>
      </c>
      <c r="G9" s="11">
        <f t="shared" si="1"/>
        <v>0.54545454545454541</v>
      </c>
      <c r="H9" s="11">
        <f t="shared" si="2"/>
        <v>0.48427672955974843</v>
      </c>
      <c r="I9" s="12">
        <f>C9+Parameters!$B$6*NORMSINV(H9)</f>
        <v>10.413270272827811</v>
      </c>
      <c r="J9" s="10">
        <v>52</v>
      </c>
      <c r="K9" s="9">
        <v>65.91</v>
      </c>
      <c r="L9" s="13">
        <v>0.54610000000000003</v>
      </c>
      <c r="M9" s="10">
        <v>1</v>
      </c>
      <c r="N9" s="14">
        <f>Parameters!$B$2*I9</f>
        <v>52.066351364139052</v>
      </c>
      <c r="O9" s="14">
        <f>Parameters!$B$4*((Parameters!$B$9-M9)*L9+M9)</f>
        <v>17.517749999999999</v>
      </c>
      <c r="P9" s="14">
        <f t="shared" si="3"/>
        <v>69.584101364139059</v>
      </c>
      <c r="Q9" s="11">
        <f>(O9-Parameters!$B$4*M9)/P9</f>
        <v>0.21582156995045371</v>
      </c>
      <c r="R9" s="15">
        <f>IF(Parameters!$B$4*M9/P9&gt;Parameters!$B$18,0,Parameters!$B$16+(Parameters!$B$17-Parameters!$B$16)*(Q9-MIN(Q$2:Q$139))/(MAX(Q$2:Q$139)-MIN(Q$2:Q$139)))</f>
        <v>1.9636348263209452E-2</v>
      </c>
      <c r="S9" s="16">
        <f>ROUND(P9*(1-R9)/Parameters!$B$10,0)*Parameters!$B$10</f>
        <v>68.22</v>
      </c>
    </row>
    <row r="10" spans="1:19" x14ac:dyDescent="0.35">
      <c r="A10" s="8" t="s">
        <v>112</v>
      </c>
      <c r="B10" s="8" t="s">
        <v>109</v>
      </c>
      <c r="C10" s="9">
        <v>9.5</v>
      </c>
      <c r="D10" s="10">
        <v>105</v>
      </c>
      <c r="E10" s="10">
        <v>-135</v>
      </c>
      <c r="F10" s="11">
        <f t="shared" si="0"/>
        <v>0.48780487804878048</v>
      </c>
      <c r="G10" s="11">
        <f t="shared" si="1"/>
        <v>0.57446808510638303</v>
      </c>
      <c r="H10" s="11">
        <f t="shared" si="2"/>
        <v>0.45920859794821689</v>
      </c>
      <c r="I10" s="12">
        <f>C10+Parameters!$B$6*NORMSINV(H10)</f>
        <v>9.2746590545189385</v>
      </c>
      <c r="J10" s="10">
        <v>95</v>
      </c>
      <c r="K10" s="9">
        <v>87.92</v>
      </c>
      <c r="L10" s="13">
        <v>0.59430000000000005</v>
      </c>
      <c r="M10" s="10">
        <v>1</v>
      </c>
      <c r="N10" s="14">
        <f>Parameters!$B$2*I10</f>
        <v>46.373295272594689</v>
      </c>
      <c r="O10" s="14">
        <f>Parameters!$B$4*((Parameters!$B$9-M10)*L10+M10)</f>
        <v>18.843250000000001</v>
      </c>
      <c r="P10" s="14">
        <f t="shared" si="3"/>
        <v>65.216545272594686</v>
      </c>
      <c r="Q10" s="11">
        <f>(O10-Parameters!$B$4*M10)/P10</f>
        <v>0.25059975090198111</v>
      </c>
      <c r="R10" s="15">
        <f>IF(Parameters!$B$4*M10/P10&gt;Parameters!$B$18,0,Parameters!$B$16+(Parameters!$B$17-Parameters!$B$16)*(Q10-MIN(Q$2:Q$139))/(MAX(Q$2:Q$139)-MIN(Q$2:Q$139)))</f>
        <v>2.1512499981044111E-2</v>
      </c>
      <c r="S10" s="16">
        <f>ROUND(P10*(1-R10)/Parameters!$B$10,0)*Parameters!$B$10</f>
        <v>63.81</v>
      </c>
    </row>
    <row r="11" spans="1:19" x14ac:dyDescent="0.35">
      <c r="A11" s="8" t="s">
        <v>113</v>
      </c>
      <c r="B11" s="8" t="s">
        <v>107</v>
      </c>
      <c r="C11" s="9">
        <v>8.5</v>
      </c>
      <c r="D11" s="10">
        <v>-165</v>
      </c>
      <c r="E11" s="10">
        <v>130</v>
      </c>
      <c r="F11" s="11">
        <f t="shared" si="0"/>
        <v>0.62264150943396224</v>
      </c>
      <c r="G11" s="11">
        <f t="shared" si="1"/>
        <v>0.43478260869565216</v>
      </c>
      <c r="H11" s="11">
        <f t="shared" si="2"/>
        <v>0.58882854926299455</v>
      </c>
      <c r="I11" s="12">
        <f>C11+Parameters!$B$6*NORMSINV(H11)</f>
        <v>8.9939717250562676</v>
      </c>
      <c r="J11" s="10">
        <v>85</v>
      </c>
      <c r="K11" s="9">
        <v>80.98</v>
      </c>
      <c r="L11" s="13">
        <v>0.59760000000000002</v>
      </c>
      <c r="M11" s="10">
        <v>1</v>
      </c>
      <c r="N11" s="14">
        <f>Parameters!$B$2*I11</f>
        <v>44.96985862528134</v>
      </c>
      <c r="O11" s="14">
        <f>Parameters!$B$4*((Parameters!$B$9-M11)*L11+M11)</f>
        <v>18.934000000000001</v>
      </c>
      <c r="P11" s="14">
        <f t="shared" si="3"/>
        <v>63.903858625281345</v>
      </c>
      <c r="Q11" s="11">
        <f>(O11-Parameters!$B$4*M11)/P11</f>
        <v>0.2571675694321604</v>
      </c>
      <c r="R11" s="15">
        <f>IF(Parameters!$B$4*M11/P11&gt;Parameters!$B$18,0,Parameters!$B$16+(Parameters!$B$17-Parameters!$B$16)*(Q11-MIN(Q$2:Q$139))/(MAX(Q$2:Q$139)-MIN(Q$2:Q$139)))</f>
        <v>2.1866809024262805E-2</v>
      </c>
      <c r="S11" s="16">
        <f>ROUND(P11*(1-R11)/Parameters!$B$10,0)*Parameters!$B$10</f>
        <v>62.51</v>
      </c>
    </row>
    <row r="12" spans="1:19" x14ac:dyDescent="0.35">
      <c r="A12" s="8" t="s">
        <v>114</v>
      </c>
      <c r="B12" s="8" t="s">
        <v>99</v>
      </c>
      <c r="C12" s="9">
        <v>8.5</v>
      </c>
      <c r="D12" s="10">
        <v>-150</v>
      </c>
      <c r="E12" s="10">
        <v>115</v>
      </c>
      <c r="F12" s="11">
        <f t="shared" si="0"/>
        <v>0.6</v>
      </c>
      <c r="G12" s="11">
        <f t="shared" si="1"/>
        <v>0.46511627906976744</v>
      </c>
      <c r="H12" s="11">
        <f t="shared" si="2"/>
        <v>0.5633187772925764</v>
      </c>
      <c r="I12" s="12">
        <f>C12+Parameters!$B$6*NORMSINV(H12)</f>
        <v>8.8506556867269044</v>
      </c>
      <c r="J12" s="10">
        <v>56</v>
      </c>
      <c r="K12" s="9">
        <v>63.1</v>
      </c>
      <c r="L12" s="13">
        <v>0.56289999999999996</v>
      </c>
      <c r="M12" s="10">
        <v>1</v>
      </c>
      <c r="N12" s="14">
        <f>Parameters!$B$2*I12</f>
        <v>44.25327843363452</v>
      </c>
      <c r="O12" s="14">
        <f>Parameters!$B$4*((Parameters!$B$9-M12)*L12+M12)</f>
        <v>17.979749999999999</v>
      </c>
      <c r="P12" s="14">
        <f t="shared" si="3"/>
        <v>62.233028433634516</v>
      </c>
      <c r="Q12" s="11">
        <f>(O12-Parameters!$B$4*M12)/P12</f>
        <v>0.24873849770154846</v>
      </c>
      <c r="R12" s="15">
        <f>IF(Parameters!$B$4*M12/P12&gt;Parameters!$B$18,0,Parameters!$B$16+(Parameters!$B$17-Parameters!$B$16)*(Q12-MIN(Q$2:Q$139))/(MAX(Q$2:Q$139)-MIN(Q$2:Q$139)))</f>
        <v>2.1412092389451444E-2</v>
      </c>
      <c r="S12" s="16">
        <f>ROUND(P12*(1-R12)/Parameters!$B$10,0)*Parameters!$B$10</f>
        <v>60.9</v>
      </c>
    </row>
    <row r="13" spans="1:19" x14ac:dyDescent="0.35">
      <c r="A13" s="8" t="s">
        <v>115</v>
      </c>
      <c r="B13" s="8" t="s">
        <v>109</v>
      </c>
      <c r="C13" s="9">
        <v>8.5</v>
      </c>
      <c r="D13" s="10">
        <v>-120</v>
      </c>
      <c r="E13" s="10">
        <v>-105</v>
      </c>
      <c r="F13" s="11">
        <f t="shared" si="0"/>
        <v>0.54545454545454541</v>
      </c>
      <c r="G13" s="11">
        <f t="shared" si="1"/>
        <v>0.51219512195121952</v>
      </c>
      <c r="H13" s="11">
        <f t="shared" si="2"/>
        <v>0.51572327044025157</v>
      </c>
      <c r="I13" s="12">
        <f>C13+Parameters!$B$6*NORMSINV(H13)</f>
        <v>8.5867297271721892</v>
      </c>
      <c r="J13" s="10">
        <v>100</v>
      </c>
      <c r="K13" s="9">
        <v>88.62</v>
      </c>
      <c r="L13" s="13">
        <v>0.59630000000000005</v>
      </c>
      <c r="M13" s="10">
        <v>1</v>
      </c>
      <c r="N13" s="14">
        <f>Parameters!$B$2*I13</f>
        <v>42.933648635860948</v>
      </c>
      <c r="O13" s="14">
        <f>Parameters!$B$4*((Parameters!$B$9-M13)*L13+M13)</f>
        <v>18.898250000000001</v>
      </c>
      <c r="P13" s="14">
        <f t="shared" si="3"/>
        <v>61.831898635860952</v>
      </c>
      <c r="Q13" s="11">
        <f>(O13-Parameters!$B$4*M13)/P13</f>
        <v>0.26520696213086081</v>
      </c>
      <c r="R13" s="15">
        <f>IF(Parameters!$B$4*M13/P13&gt;Parameters!$B$18,0,Parameters!$B$16+(Parameters!$B$17-Parameters!$B$16)*(Q13-MIN(Q$2:Q$139))/(MAX(Q$2:Q$139)-MIN(Q$2:Q$139)))</f>
        <v>2.2300503944737121E-2</v>
      </c>
      <c r="S13" s="16">
        <f>ROUND(P13*(1-R13)/Parameters!$B$10,0)*Parameters!$B$10</f>
        <v>60.45</v>
      </c>
    </row>
    <row r="14" spans="1:19" x14ac:dyDescent="0.35">
      <c r="A14" s="8" t="s">
        <v>116</v>
      </c>
      <c r="B14" s="8" t="s">
        <v>117</v>
      </c>
      <c r="C14" s="9">
        <v>8.5</v>
      </c>
      <c r="D14" s="10">
        <v>-130</v>
      </c>
      <c r="E14" s="10">
        <v>100</v>
      </c>
      <c r="F14" s="11">
        <f t="shared" si="0"/>
        <v>0.56521739130434778</v>
      </c>
      <c r="G14" s="11">
        <f t="shared" si="1"/>
        <v>0.5</v>
      </c>
      <c r="H14" s="11">
        <f t="shared" si="2"/>
        <v>0.53061224489795922</v>
      </c>
      <c r="I14" s="12">
        <f>C14+Parameters!$B$6*NORMSINV(H14)</f>
        <v>8.668979746692699</v>
      </c>
      <c r="J14" s="10">
        <v>30</v>
      </c>
      <c r="K14" s="9">
        <v>46.9</v>
      </c>
      <c r="L14" s="13">
        <v>0.57909999999999995</v>
      </c>
      <c r="M14" s="10">
        <v>1</v>
      </c>
      <c r="N14" s="14">
        <f>Parameters!$B$2*I14</f>
        <v>43.344898733463495</v>
      </c>
      <c r="O14" s="14">
        <f>Parameters!$B$4*((Parameters!$B$9-M14)*L14+M14)</f>
        <v>18.425249999999998</v>
      </c>
      <c r="P14" s="14">
        <f t="shared" si="3"/>
        <v>61.770148733463493</v>
      </c>
      <c r="Q14" s="11">
        <f>(O14-Parameters!$B$4*M14)/P14</f>
        <v>0.25781466171818718</v>
      </c>
      <c r="R14" s="15">
        <f>IF(Parameters!$B$4*M14/P14&gt;Parameters!$B$18,0,Parameters!$B$16+(Parameters!$B$17-Parameters!$B$16)*(Q14-MIN(Q$2:Q$139))/(MAX(Q$2:Q$139)-MIN(Q$2:Q$139)))</f>
        <v>2.1901717212983736E-2</v>
      </c>
      <c r="S14" s="16">
        <f>ROUND(P14*(1-R14)/Parameters!$B$10,0)*Parameters!$B$10</f>
        <v>60.42</v>
      </c>
    </row>
    <row r="15" spans="1:19" x14ac:dyDescent="0.35">
      <c r="A15" s="8" t="s">
        <v>118</v>
      </c>
      <c r="B15" s="8" t="s">
        <v>103</v>
      </c>
      <c r="C15" s="9">
        <v>8.5</v>
      </c>
      <c r="D15" s="10">
        <v>-155</v>
      </c>
      <c r="E15" s="10">
        <v>120</v>
      </c>
      <c r="F15" s="11">
        <f t="shared" si="0"/>
        <v>0.60784313725490191</v>
      </c>
      <c r="G15" s="11">
        <f t="shared" si="1"/>
        <v>0.45454545454545453</v>
      </c>
      <c r="H15" s="11">
        <f t="shared" si="2"/>
        <v>0.57214765100671139</v>
      </c>
      <c r="I15" s="12">
        <f>C15+Parameters!$B$6*NORMSINV(H15)</f>
        <v>8.9000580758988139</v>
      </c>
      <c r="J15" s="10">
        <v>38</v>
      </c>
      <c r="K15" s="9">
        <v>52.47</v>
      </c>
      <c r="L15" s="13">
        <v>0.52569999999999995</v>
      </c>
      <c r="M15" s="10">
        <v>1</v>
      </c>
      <c r="N15" s="14">
        <f>Parameters!$B$2*I15</f>
        <v>44.500290379494068</v>
      </c>
      <c r="O15" s="14">
        <f>Parameters!$B$4*((Parameters!$B$9-M15)*L15+M15)</f>
        <v>16.95675</v>
      </c>
      <c r="P15" s="14">
        <f t="shared" si="3"/>
        <v>61.457040379494067</v>
      </c>
      <c r="Q15" s="11">
        <f>(O15-Parameters!$B$4*M15)/P15</f>
        <v>0.23523342339185732</v>
      </c>
      <c r="R15" s="15">
        <f>IF(Parameters!$B$4*M15/P15&gt;Parameters!$B$18,0,Parameters!$B$16+(Parameters!$B$17-Parameters!$B$16)*(Q15-MIN(Q$2:Q$139))/(MAX(Q$2:Q$139)-MIN(Q$2:Q$139)))</f>
        <v>2.0683544556517733E-2</v>
      </c>
      <c r="S15" s="16">
        <f>ROUND(P15*(1-R15)/Parameters!$B$10,0)*Parameters!$B$10</f>
        <v>60.19</v>
      </c>
    </row>
    <row r="16" spans="1:19" x14ac:dyDescent="0.35">
      <c r="A16" s="8" t="s">
        <v>119</v>
      </c>
      <c r="B16" s="8" t="s">
        <v>99</v>
      </c>
      <c r="C16" s="9">
        <v>8.5</v>
      </c>
      <c r="D16" s="10">
        <v>-135</v>
      </c>
      <c r="E16" s="10">
        <v>105</v>
      </c>
      <c r="F16" s="11">
        <f t="shared" si="0"/>
        <v>0.57446808510638303</v>
      </c>
      <c r="G16" s="11">
        <f t="shared" si="1"/>
        <v>0.48780487804878048</v>
      </c>
      <c r="H16" s="11">
        <f t="shared" si="2"/>
        <v>0.54079140205178311</v>
      </c>
      <c r="I16" s="12">
        <f>C16+Parameters!$B$6*NORMSINV(H16)</f>
        <v>8.7253409454810615</v>
      </c>
      <c r="J16" s="10">
        <v>54</v>
      </c>
      <c r="K16" s="9">
        <v>61.48</v>
      </c>
      <c r="L16" s="13">
        <v>0.55620000000000003</v>
      </c>
      <c r="M16" s="10">
        <v>1</v>
      </c>
      <c r="N16" s="14">
        <f>Parameters!$B$2*I16</f>
        <v>43.626704727405311</v>
      </c>
      <c r="O16" s="14">
        <f>Parameters!$B$4*((Parameters!$B$9-M16)*L16+M16)</f>
        <v>17.795500000000001</v>
      </c>
      <c r="P16" s="14">
        <f t="shared" si="3"/>
        <v>61.422204727405315</v>
      </c>
      <c r="Q16" s="11">
        <f>(O16-Parameters!$B$4*M16)/P16</f>
        <v>0.24902232129051963</v>
      </c>
      <c r="R16" s="15">
        <f>IF(Parameters!$B$4*M16/P16&gt;Parameters!$B$18,0,Parameters!$B$16+(Parameters!$B$17-Parameters!$B$16)*(Q16-MIN(Q$2:Q$139))/(MAX(Q$2:Q$139)-MIN(Q$2:Q$139)))</f>
        <v>2.1427403601810491E-2</v>
      </c>
      <c r="S16" s="16">
        <f>ROUND(P16*(1-R16)/Parameters!$B$10,0)*Parameters!$B$10</f>
        <v>60.11</v>
      </c>
    </row>
    <row r="17" spans="1:19" x14ac:dyDescent="0.35">
      <c r="A17" s="8" t="s">
        <v>120</v>
      </c>
      <c r="B17" s="8" t="s">
        <v>109</v>
      </c>
      <c r="C17" s="9">
        <v>8.5</v>
      </c>
      <c r="D17" s="10">
        <v>-118</v>
      </c>
      <c r="E17" s="10">
        <v>-110</v>
      </c>
      <c r="F17" s="11">
        <f t="shared" si="0"/>
        <v>0.54128440366972475</v>
      </c>
      <c r="G17" s="11">
        <f t="shared" si="1"/>
        <v>0.52380952380952384</v>
      </c>
      <c r="H17" s="11">
        <f t="shared" si="2"/>
        <v>0.50820344544708773</v>
      </c>
      <c r="I17" s="12">
        <f>C17+Parameters!$B$6*NORMSINV(H17)</f>
        <v>8.5452417628340847</v>
      </c>
      <c r="J17" s="10">
        <v>85</v>
      </c>
      <c r="K17" s="9">
        <v>79.48</v>
      </c>
      <c r="L17" s="13">
        <v>0.56899999999999995</v>
      </c>
      <c r="M17" s="10">
        <v>1</v>
      </c>
      <c r="N17" s="14">
        <f>Parameters!$B$2*I17</f>
        <v>42.72620881417042</v>
      </c>
      <c r="O17" s="14">
        <f>Parameters!$B$4*((Parameters!$B$9-M17)*L17+M17)</f>
        <v>18.147499999999997</v>
      </c>
      <c r="P17" s="14">
        <f t="shared" si="3"/>
        <v>60.873708814170413</v>
      </c>
      <c r="Q17" s="11">
        <f>(O17-Parameters!$B$4*M17)/P17</f>
        <v>0.25704857326448149</v>
      </c>
      <c r="R17" s="15">
        <f>IF(Parameters!$B$4*M17/P17&gt;Parameters!$B$18,0,Parameters!$B$16+(Parameters!$B$17-Parameters!$B$16)*(Q17-MIN(Q$2:Q$139))/(MAX(Q$2:Q$139)-MIN(Q$2:Q$139)))</f>
        <v>2.1860389629737322E-2</v>
      </c>
      <c r="S17" s="16">
        <f>ROUND(P17*(1-R17)/Parameters!$B$10,0)*Parameters!$B$10</f>
        <v>59.54</v>
      </c>
    </row>
    <row r="18" spans="1:19" x14ac:dyDescent="0.35">
      <c r="A18" s="8" t="s">
        <v>121</v>
      </c>
      <c r="B18" s="8" t="s">
        <v>122</v>
      </c>
      <c r="C18" s="9">
        <v>7.5</v>
      </c>
      <c r="D18" s="10">
        <v>-200</v>
      </c>
      <c r="E18" s="10">
        <v>150</v>
      </c>
      <c r="F18" s="11">
        <f t="shared" si="0"/>
        <v>0.66666666666666663</v>
      </c>
      <c r="G18" s="11">
        <f t="shared" si="1"/>
        <v>0.4</v>
      </c>
      <c r="H18" s="11">
        <f t="shared" si="2"/>
        <v>0.625</v>
      </c>
      <c r="I18" s="12">
        <f>C18+Parameters!$B$6*NORMSINV(H18)</f>
        <v>8.2010066007216249</v>
      </c>
      <c r="J18" s="10">
        <v>38</v>
      </c>
      <c r="K18" s="9">
        <v>50.14</v>
      </c>
      <c r="L18" s="13">
        <v>0.58399999999999996</v>
      </c>
      <c r="M18" s="10">
        <v>1</v>
      </c>
      <c r="N18" s="14">
        <f>Parameters!$B$2*I18</f>
        <v>41.005033003608126</v>
      </c>
      <c r="O18" s="14">
        <f>Parameters!$B$4*((Parameters!$B$9-M18)*L18+M18)</f>
        <v>18.559999999999999</v>
      </c>
      <c r="P18" s="14">
        <f t="shared" si="3"/>
        <v>59.565033003608121</v>
      </c>
      <c r="Q18" s="11">
        <f>(O18-Parameters!$B$4*M18)/P18</f>
        <v>0.26962127258499419</v>
      </c>
      <c r="R18" s="15">
        <f>IF(Parameters!$B$4*M18/P18&gt;Parameters!$B$18,0,Parameters!$B$16+(Parameters!$B$17-Parameters!$B$16)*(Q18-MIN(Q$2:Q$139))/(MAX(Q$2:Q$139)-MIN(Q$2:Q$139)))</f>
        <v>2.2538639347883162E-2</v>
      </c>
      <c r="S18" s="16">
        <f>ROUND(P18*(1-R18)/Parameters!$B$10,0)*Parameters!$B$10</f>
        <v>58.22</v>
      </c>
    </row>
    <row r="19" spans="1:19" x14ac:dyDescent="0.35">
      <c r="A19" s="8" t="s">
        <v>123</v>
      </c>
      <c r="B19" s="8" t="s">
        <v>109</v>
      </c>
      <c r="C19" s="9">
        <v>8.5</v>
      </c>
      <c r="D19" s="10">
        <v>100</v>
      </c>
      <c r="E19" s="10">
        <v>-125</v>
      </c>
      <c r="F19" s="11">
        <f t="shared" si="0"/>
        <v>0.5</v>
      </c>
      <c r="G19" s="11">
        <f t="shared" si="1"/>
        <v>0.55555555555555558</v>
      </c>
      <c r="H19" s="11">
        <f t="shared" si="2"/>
        <v>0.47368421052631576</v>
      </c>
      <c r="I19" s="12">
        <f>C19+Parameters!$B$6*NORMSINV(H19)</f>
        <v>8.3547740127731505</v>
      </c>
      <c r="J19" s="10">
        <v>78</v>
      </c>
      <c r="K19" s="9">
        <v>74.650000000000006</v>
      </c>
      <c r="L19" s="13">
        <v>0.55310000000000004</v>
      </c>
      <c r="M19" s="10">
        <v>1</v>
      </c>
      <c r="N19" s="14">
        <f>Parameters!$B$2*I19</f>
        <v>41.773870063865751</v>
      </c>
      <c r="O19" s="14">
        <f>Parameters!$B$4*((Parameters!$B$9-M19)*L19+M19)</f>
        <v>17.710250000000002</v>
      </c>
      <c r="P19" s="14">
        <f t="shared" si="3"/>
        <v>59.484120063865753</v>
      </c>
      <c r="Q19" s="11">
        <f>(O19-Parameters!$B$4*M19)/P19</f>
        <v>0.25570269819355751</v>
      </c>
      <c r="R19" s="15">
        <f>IF(Parameters!$B$4*M19/P19&gt;Parameters!$B$18,0,Parameters!$B$16+(Parameters!$B$17-Parameters!$B$16)*(Q19-MIN(Q$2:Q$139))/(MAX(Q$2:Q$139)-MIN(Q$2:Q$139)))</f>
        <v>2.1787784744800288E-2</v>
      </c>
      <c r="S19" s="16">
        <f>ROUND(P19*(1-R19)/Parameters!$B$10,0)*Parameters!$B$10</f>
        <v>58.19</v>
      </c>
    </row>
    <row r="20" spans="1:19" x14ac:dyDescent="0.35">
      <c r="A20" s="8" t="s">
        <v>124</v>
      </c>
      <c r="B20" s="8" t="s">
        <v>125</v>
      </c>
      <c r="C20" s="9">
        <v>8.5</v>
      </c>
      <c r="D20" s="10">
        <v>115</v>
      </c>
      <c r="E20" s="10">
        <v>-145</v>
      </c>
      <c r="F20" s="11">
        <f t="shared" si="0"/>
        <v>0.46511627906976744</v>
      </c>
      <c r="G20" s="11">
        <f t="shared" si="1"/>
        <v>0.59183673469387754</v>
      </c>
      <c r="H20" s="11">
        <f t="shared" si="2"/>
        <v>0.44005388414907948</v>
      </c>
      <c r="I20" s="12">
        <f>C20+Parameters!$B$6*NORMSINV(H20)</f>
        <v>8.1681682770075348</v>
      </c>
      <c r="J20" s="10">
        <v>28</v>
      </c>
      <c r="K20" s="9">
        <v>44.03</v>
      </c>
      <c r="L20" s="13">
        <v>0.58330000000000004</v>
      </c>
      <c r="M20" s="10">
        <v>1</v>
      </c>
      <c r="N20" s="14">
        <f>Parameters!$B$2*I20</f>
        <v>40.840841385037677</v>
      </c>
      <c r="O20" s="14">
        <f>Parameters!$B$4*((Parameters!$B$9-M20)*L20+M20)</f>
        <v>18.540750000000003</v>
      </c>
      <c r="P20" s="14">
        <f t="shared" si="3"/>
        <v>59.38159138503768</v>
      </c>
      <c r="Q20" s="11">
        <f>(O20-Parameters!$B$4*M20)/P20</f>
        <v>0.27013001211082016</v>
      </c>
      <c r="R20" s="15">
        <f>IF(Parameters!$B$4*M20/P20&gt;Parameters!$B$18,0,Parameters!$B$16+(Parameters!$B$17-Parameters!$B$16)*(Q20-MIN(Q$2:Q$139))/(MAX(Q$2:Q$139)-MIN(Q$2:Q$139)))</f>
        <v>2.2566083926903527E-2</v>
      </c>
      <c r="S20" s="16">
        <f>ROUND(P20*(1-R20)/Parameters!$B$10,0)*Parameters!$B$10</f>
        <v>58.04</v>
      </c>
    </row>
    <row r="21" spans="1:19" x14ac:dyDescent="0.35">
      <c r="A21" s="8" t="s">
        <v>126</v>
      </c>
      <c r="B21" s="8" t="s">
        <v>99</v>
      </c>
      <c r="C21" s="9">
        <v>8.5</v>
      </c>
      <c r="D21" s="10">
        <v>-102</v>
      </c>
      <c r="E21" s="10">
        <v>-125</v>
      </c>
      <c r="F21" s="11">
        <f t="shared" si="0"/>
        <v>0.50495049504950495</v>
      </c>
      <c r="G21" s="11">
        <f t="shared" si="1"/>
        <v>0.55555555555555558</v>
      </c>
      <c r="H21" s="11">
        <f t="shared" si="2"/>
        <v>0.47614107883817425</v>
      </c>
      <c r="I21" s="12">
        <f>C21+Parameters!$B$6*NORMSINV(H21)</f>
        <v>8.3683494875501943</v>
      </c>
      <c r="J21" s="10">
        <v>50</v>
      </c>
      <c r="K21" s="9">
        <v>57.89</v>
      </c>
      <c r="L21" s="13">
        <v>0.54059999999999997</v>
      </c>
      <c r="M21" s="10">
        <v>1</v>
      </c>
      <c r="N21" s="14">
        <f>Parameters!$B$2*I21</f>
        <v>41.841747437750968</v>
      </c>
      <c r="O21" s="14">
        <f>Parameters!$B$4*((Parameters!$B$9-M21)*L21+M21)</f>
        <v>17.366500000000002</v>
      </c>
      <c r="P21" s="14">
        <f t="shared" si="3"/>
        <v>59.20824743775097</v>
      </c>
      <c r="Q21" s="11">
        <f>(O21-Parameters!$B$4*M21)/P21</f>
        <v>0.25108833048351931</v>
      </c>
      <c r="R21" s="15">
        <f>IF(Parameters!$B$4*M21/P21&gt;Parameters!$B$18,0,Parameters!$B$16+(Parameters!$B$17-Parameters!$B$16)*(Q21-MIN(Q$2:Q$139))/(MAX(Q$2:Q$139)-MIN(Q$2:Q$139)))</f>
        <v>2.1538857007090975E-2</v>
      </c>
      <c r="S21" s="16">
        <f>ROUND(P21*(1-R21)/Parameters!$B$10,0)*Parameters!$B$10</f>
        <v>57.93</v>
      </c>
    </row>
    <row r="22" spans="1:19" x14ac:dyDescent="0.35">
      <c r="A22" s="8" t="s">
        <v>127</v>
      </c>
      <c r="B22" s="8" t="s">
        <v>107</v>
      </c>
      <c r="C22" s="9">
        <v>8.5</v>
      </c>
      <c r="D22" s="10">
        <v>105</v>
      </c>
      <c r="E22" s="10">
        <v>-125</v>
      </c>
      <c r="F22" s="11">
        <f t="shared" si="0"/>
        <v>0.48780487804878048</v>
      </c>
      <c r="G22" s="11">
        <f t="shared" si="1"/>
        <v>0.55555555555555558</v>
      </c>
      <c r="H22" s="11">
        <f t="shared" si="2"/>
        <v>0.46753246753246752</v>
      </c>
      <c r="I22" s="12">
        <f>C22+Parameters!$B$6*NORMSINV(H22)</f>
        <v>8.3207570172664802</v>
      </c>
      <c r="J22" s="10">
        <v>82</v>
      </c>
      <c r="K22" s="9">
        <v>76.94</v>
      </c>
      <c r="L22" s="13">
        <v>0.58389999999999997</v>
      </c>
      <c r="M22" s="10">
        <v>0</v>
      </c>
      <c r="N22" s="14">
        <f>Parameters!$B$2*I22</f>
        <v>41.603785086332401</v>
      </c>
      <c r="O22" s="14">
        <f>Parameters!$B$4*((Parameters!$B$9-M22)*L22+M22)</f>
        <v>17.516999999999999</v>
      </c>
      <c r="P22" s="14">
        <f t="shared" si="3"/>
        <v>59.120785086332404</v>
      </c>
      <c r="Q22" s="11">
        <f>(O22-Parameters!$B$4*M22)/P22</f>
        <v>0.2962917352065001</v>
      </c>
      <c r="R22" s="15">
        <f>IF(Parameters!$B$4*M22/P22&gt;Parameters!$B$18,0,Parameters!$B$16+(Parameters!$B$17-Parameters!$B$16)*(Q22-MIN(Q$2:Q$139))/(MAX(Q$2:Q$139)-MIN(Q$2:Q$139)))</f>
        <v>2.3977410235081785E-2</v>
      </c>
      <c r="S22" s="16">
        <f>ROUND(P22*(1-R22)/Parameters!$B$10,0)*Parameters!$B$10</f>
        <v>57.7</v>
      </c>
    </row>
    <row r="23" spans="1:19" x14ac:dyDescent="0.35">
      <c r="A23" s="8" t="s">
        <v>128</v>
      </c>
      <c r="B23" s="8" t="s">
        <v>122</v>
      </c>
      <c r="C23" s="9">
        <v>8.5</v>
      </c>
      <c r="D23" s="10">
        <v>115</v>
      </c>
      <c r="E23" s="10">
        <v>-145</v>
      </c>
      <c r="F23" s="11">
        <f t="shared" si="0"/>
        <v>0.46511627906976744</v>
      </c>
      <c r="G23" s="11">
        <f t="shared" si="1"/>
        <v>0.59183673469387754</v>
      </c>
      <c r="H23" s="11">
        <f t="shared" si="2"/>
        <v>0.44005388414907948</v>
      </c>
      <c r="I23" s="12">
        <f>C23+Parameters!$B$6*NORMSINV(H23)</f>
        <v>8.1681682770075348</v>
      </c>
      <c r="J23" s="10">
        <v>30</v>
      </c>
      <c r="K23" s="9">
        <v>45.23</v>
      </c>
      <c r="L23" s="13">
        <v>0.55800000000000005</v>
      </c>
      <c r="M23" s="10">
        <v>1</v>
      </c>
      <c r="N23" s="14">
        <f>Parameters!$B$2*I23</f>
        <v>40.840841385037677</v>
      </c>
      <c r="O23" s="14">
        <f>Parameters!$B$4*((Parameters!$B$9-M23)*L23+M23)</f>
        <v>17.845000000000002</v>
      </c>
      <c r="P23" s="14">
        <f t="shared" si="3"/>
        <v>58.685841385037676</v>
      </c>
      <c r="Q23" s="11">
        <f>(O23-Parameters!$B$4*M23)/P23</f>
        <v>0.26147703837662462</v>
      </c>
      <c r="R23" s="15">
        <f>IF(Parameters!$B$4*M23/P23&gt;Parameters!$B$18,0,Parameters!$B$16+(Parameters!$B$17-Parameters!$B$16)*(Q23-MIN(Q$2:Q$139))/(MAX(Q$2:Q$139)-MIN(Q$2:Q$139)))</f>
        <v>2.2099288623307404E-2</v>
      </c>
      <c r="S23" s="16">
        <f>ROUND(P23*(1-R23)/Parameters!$B$10,0)*Parameters!$B$10</f>
        <v>57.39</v>
      </c>
    </row>
    <row r="24" spans="1:19" x14ac:dyDescent="0.35">
      <c r="A24" s="8" t="s">
        <v>129</v>
      </c>
      <c r="B24" s="8" t="s">
        <v>130</v>
      </c>
      <c r="C24" s="9">
        <v>7.5</v>
      </c>
      <c r="D24" s="10">
        <v>-185</v>
      </c>
      <c r="E24" s="10">
        <v>140</v>
      </c>
      <c r="F24" s="11">
        <f t="shared" si="0"/>
        <v>0.64912280701754388</v>
      </c>
      <c r="G24" s="11">
        <f t="shared" si="1"/>
        <v>0.41666666666666669</v>
      </c>
      <c r="H24" s="11">
        <f t="shared" si="2"/>
        <v>0.60905349794238683</v>
      </c>
      <c r="I24" s="12">
        <f>C24+Parameters!$B$6*NORMSINV(H24)</f>
        <v>8.109076539390438</v>
      </c>
      <c r="J24" s="10">
        <v>28</v>
      </c>
      <c r="K24" s="9">
        <v>43.83</v>
      </c>
      <c r="L24" s="13">
        <v>0.56810000000000005</v>
      </c>
      <c r="M24" s="10">
        <v>1</v>
      </c>
      <c r="N24" s="14">
        <f>Parameters!$B$2*I24</f>
        <v>40.545382696952188</v>
      </c>
      <c r="O24" s="14">
        <f>Parameters!$B$4*((Parameters!$B$9-M24)*L24+M24)</f>
        <v>18.12275</v>
      </c>
      <c r="P24" s="14">
        <f t="shared" si="3"/>
        <v>58.668132696952185</v>
      </c>
      <c r="Q24" s="11">
        <f>(O24-Parameters!$B$4*M24)/P24</f>
        <v>0.26629022063304231</v>
      </c>
      <c r="R24" s="15">
        <f>IF(Parameters!$B$4*M24/P24&gt;Parameters!$B$18,0,Parameters!$B$16+(Parameters!$B$17-Parameters!$B$16)*(Q24-MIN(Q$2:Q$139))/(MAX(Q$2:Q$139)-MIN(Q$2:Q$139)))</f>
        <v>2.235894165608722E-2</v>
      </c>
      <c r="S24" s="16">
        <f>ROUND(P24*(1-R24)/Parameters!$B$10,0)*Parameters!$B$10</f>
        <v>57.36</v>
      </c>
    </row>
    <row r="25" spans="1:19" x14ac:dyDescent="0.35">
      <c r="A25" s="8" t="s">
        <v>131</v>
      </c>
      <c r="B25" s="8" t="s">
        <v>107</v>
      </c>
      <c r="C25" s="9">
        <v>8.5</v>
      </c>
      <c r="D25" s="10">
        <v>140</v>
      </c>
      <c r="E25" s="10">
        <v>-185</v>
      </c>
      <c r="F25" s="11">
        <f t="shared" si="0"/>
        <v>0.41666666666666669</v>
      </c>
      <c r="G25" s="11">
        <f t="shared" si="1"/>
        <v>0.64912280701754388</v>
      </c>
      <c r="H25" s="11">
        <f t="shared" si="2"/>
        <v>0.39094650205761317</v>
      </c>
      <c r="I25" s="12">
        <f>C25+Parameters!$B$6*NORMSINV(H25)</f>
        <v>7.8909234606095611</v>
      </c>
      <c r="J25" s="10">
        <v>96</v>
      </c>
      <c r="K25" s="9">
        <v>83.9</v>
      </c>
      <c r="L25" s="13">
        <v>0.60629999999999995</v>
      </c>
      <c r="M25" s="10">
        <v>1</v>
      </c>
      <c r="N25" s="14">
        <f>Parameters!$B$2*I25</f>
        <v>39.454617303047804</v>
      </c>
      <c r="O25" s="14">
        <f>Parameters!$B$4*((Parameters!$B$9-M25)*L25+M25)</f>
        <v>19.173249999999999</v>
      </c>
      <c r="P25" s="14">
        <f t="shared" si="3"/>
        <v>58.627867303047807</v>
      </c>
      <c r="Q25" s="11">
        <f>(O25-Parameters!$B$4*M25)/P25</f>
        <v>0.28439120791851197</v>
      </c>
      <c r="R25" s="15">
        <f>IF(Parameters!$B$4*M25/P25&gt;Parameters!$B$18,0,Parameters!$B$16+(Parameters!$B$17-Parameters!$B$16)*(Q25-MIN(Q$2:Q$139))/(MAX(Q$2:Q$139)-MIN(Q$2:Q$139)))</f>
        <v>2.3335421663407609E-2</v>
      </c>
      <c r="S25" s="16">
        <f>ROUND(P25*(1-R25)/Parameters!$B$10,0)*Parameters!$B$10</f>
        <v>57.26</v>
      </c>
    </row>
    <row r="26" spans="1:19" x14ac:dyDescent="0.35">
      <c r="A26" s="8" t="s">
        <v>132</v>
      </c>
      <c r="B26" s="8" t="s">
        <v>133</v>
      </c>
      <c r="C26" s="9">
        <v>7.5</v>
      </c>
      <c r="D26" s="10">
        <v>-160</v>
      </c>
      <c r="E26" s="10">
        <v>125</v>
      </c>
      <c r="F26" s="11">
        <f t="shared" si="0"/>
        <v>0.61538461538461542</v>
      </c>
      <c r="G26" s="11">
        <f t="shared" si="1"/>
        <v>0.44444444444444442</v>
      </c>
      <c r="H26" s="11">
        <f t="shared" si="2"/>
        <v>0.58064516129032262</v>
      </c>
      <c r="I26" s="12">
        <f>C26+Parameters!$B$6*NORMSINV(H26)</f>
        <v>7.9477973093714702</v>
      </c>
      <c r="J26" s="10">
        <v>42</v>
      </c>
      <c r="K26" s="9">
        <v>51.69</v>
      </c>
      <c r="L26" s="13">
        <v>0.58479999999999999</v>
      </c>
      <c r="M26" s="10">
        <v>1</v>
      </c>
      <c r="N26" s="14">
        <f>Parameters!$B$2*I26</f>
        <v>39.738986546857348</v>
      </c>
      <c r="O26" s="14">
        <f>Parameters!$B$4*((Parameters!$B$9-M26)*L26+M26)</f>
        <v>18.582000000000001</v>
      </c>
      <c r="P26" s="14">
        <f t="shared" si="3"/>
        <v>58.320986546857348</v>
      </c>
      <c r="Q26" s="11">
        <f>(O26-Parameters!$B$4*M26)/P26</f>
        <v>0.27574979355123042</v>
      </c>
      <c r="R26" s="15">
        <f>IF(Parameters!$B$4*M26/P26&gt;Parameters!$B$18,0,Parameters!$B$16+(Parameters!$B$17-Parameters!$B$16)*(Q26-MIN(Q$2:Q$139))/(MAX(Q$2:Q$139)-MIN(Q$2:Q$139)))</f>
        <v>2.2869249944067457E-2</v>
      </c>
      <c r="S26" s="16">
        <f>ROUND(P26*(1-R26)/Parameters!$B$10,0)*Parameters!$B$10</f>
        <v>56.99</v>
      </c>
    </row>
    <row r="27" spans="1:19" x14ac:dyDescent="0.35">
      <c r="A27" s="8" t="s">
        <v>134</v>
      </c>
      <c r="B27" s="8" t="s">
        <v>103</v>
      </c>
      <c r="C27" s="9">
        <v>7.5</v>
      </c>
      <c r="D27" s="10">
        <v>-145</v>
      </c>
      <c r="E27" s="10">
        <v>110</v>
      </c>
      <c r="F27" s="11">
        <f t="shared" si="0"/>
        <v>0.59183673469387754</v>
      </c>
      <c r="G27" s="11">
        <f t="shared" si="1"/>
        <v>0.47619047619047616</v>
      </c>
      <c r="H27" s="11">
        <f t="shared" si="2"/>
        <v>0.55414012738853502</v>
      </c>
      <c r="I27" s="12">
        <f>C27+Parameters!$B$6*NORMSINV(H27)</f>
        <v>7.7994825671783001</v>
      </c>
      <c r="J27" s="10">
        <v>78</v>
      </c>
      <c r="K27" s="9">
        <v>72.8</v>
      </c>
      <c r="L27" s="13">
        <v>0.60870000000000002</v>
      </c>
      <c r="M27" s="10">
        <v>1</v>
      </c>
      <c r="N27" s="14">
        <f>Parameters!$B$2*I27</f>
        <v>38.997412835891502</v>
      </c>
      <c r="O27" s="14">
        <f>Parameters!$B$4*((Parameters!$B$9-M27)*L27+M27)</f>
        <v>19.239250000000002</v>
      </c>
      <c r="P27" s="14">
        <f t="shared" si="3"/>
        <v>58.236662835891508</v>
      </c>
      <c r="Q27" s="11">
        <f>(O27-Parameters!$B$4*M27)/P27</f>
        <v>0.28743491101422675</v>
      </c>
      <c r="R27" s="15">
        <f>IF(Parameters!$B$4*M27/P27&gt;Parameters!$B$18,0,Parameters!$B$16+(Parameters!$B$17-Parameters!$B$16)*(Q27-MIN(Q$2:Q$139))/(MAX(Q$2:Q$139)-MIN(Q$2:Q$139)))</f>
        <v>2.3499617967968879E-2</v>
      </c>
      <c r="S27" s="16">
        <f>ROUND(P27*(1-R27)/Parameters!$B$10,0)*Parameters!$B$10</f>
        <v>56.870000000000005</v>
      </c>
    </row>
    <row r="28" spans="1:19" x14ac:dyDescent="0.35">
      <c r="A28" s="8" t="s">
        <v>135</v>
      </c>
      <c r="B28" s="8" t="s">
        <v>103</v>
      </c>
      <c r="C28" s="9">
        <v>8.5</v>
      </c>
      <c r="D28" s="10">
        <v>120</v>
      </c>
      <c r="E28" s="10">
        <v>-150</v>
      </c>
      <c r="F28" s="11">
        <f t="shared" si="0"/>
        <v>0.45454545454545453</v>
      </c>
      <c r="G28" s="11">
        <f t="shared" si="1"/>
        <v>0.6</v>
      </c>
      <c r="H28" s="11">
        <f t="shared" si="2"/>
        <v>0.43103448275862072</v>
      </c>
      <c r="I28" s="12">
        <f>C28+Parameters!$B$6*NORMSINV(H28)</f>
        <v>8.1177696637940997</v>
      </c>
      <c r="J28" s="10">
        <v>50</v>
      </c>
      <c r="K28" s="9">
        <v>57.06</v>
      </c>
      <c r="L28" s="13">
        <v>0.54720000000000002</v>
      </c>
      <c r="M28" s="10">
        <v>1</v>
      </c>
      <c r="N28" s="14">
        <f>Parameters!$B$2*I28</f>
        <v>40.588848318970498</v>
      </c>
      <c r="O28" s="14">
        <f>Parameters!$B$4*((Parameters!$B$9-M28)*L28+M28)</f>
        <v>17.548000000000002</v>
      </c>
      <c r="P28" s="14">
        <f t="shared" si="3"/>
        <v>58.1368483189705</v>
      </c>
      <c r="Q28" s="11">
        <f>(O28-Parameters!$B$4*M28)/P28</f>
        <v>0.25883756060250213</v>
      </c>
      <c r="R28" s="15">
        <f>IF(Parameters!$B$4*M28/P28&gt;Parameters!$B$18,0,Parameters!$B$16+(Parameters!$B$17-Parameters!$B$16)*(Q28-MIN(Q$2:Q$139))/(MAX(Q$2:Q$139)-MIN(Q$2:Q$139)))</f>
        <v>2.1956898750559076E-2</v>
      </c>
      <c r="S28" s="16">
        <f>ROUND(P28*(1-R28)/Parameters!$B$10,0)*Parameters!$B$10</f>
        <v>56.86</v>
      </c>
    </row>
    <row r="29" spans="1:19" x14ac:dyDescent="0.35">
      <c r="A29" s="8" t="s">
        <v>136</v>
      </c>
      <c r="B29" s="8" t="s">
        <v>130</v>
      </c>
      <c r="C29" s="9">
        <v>7.5</v>
      </c>
      <c r="D29" s="10">
        <v>-190</v>
      </c>
      <c r="E29" s="10">
        <v>145</v>
      </c>
      <c r="F29" s="11">
        <f t="shared" si="0"/>
        <v>0.65517241379310343</v>
      </c>
      <c r="G29" s="11">
        <f t="shared" si="1"/>
        <v>0.40816326530612246</v>
      </c>
      <c r="H29" s="11">
        <f t="shared" si="2"/>
        <v>0.61614824619457309</v>
      </c>
      <c r="I29" s="12">
        <f>C29+Parameters!$B$6*NORMSINV(H29)</f>
        <v>8.1498362942268976</v>
      </c>
      <c r="J29" s="10">
        <v>20</v>
      </c>
      <c r="K29" s="9">
        <v>39.17</v>
      </c>
      <c r="L29" s="13">
        <v>0.53859999999999997</v>
      </c>
      <c r="M29" s="10">
        <v>1</v>
      </c>
      <c r="N29" s="14">
        <f>Parameters!$B$2*I29</f>
        <v>40.749181471134492</v>
      </c>
      <c r="O29" s="14">
        <f>Parameters!$B$4*((Parameters!$B$9-M29)*L29+M29)</f>
        <v>17.311499999999999</v>
      </c>
      <c r="P29" s="14">
        <f t="shared" si="3"/>
        <v>58.060681471134487</v>
      </c>
      <c r="Q29" s="11">
        <f>(O29-Parameters!$B$4*M29)/P29</f>
        <v>0.25510379183826321</v>
      </c>
      <c r="R29" s="15">
        <f>IF(Parameters!$B$4*M29/P29&gt;Parameters!$B$18,0,Parameters!$B$16+(Parameters!$B$17-Parameters!$B$16)*(Q29-MIN(Q$2:Q$139))/(MAX(Q$2:Q$139)-MIN(Q$2:Q$139)))</f>
        <v>2.1755476005338798E-2</v>
      </c>
      <c r="S29" s="16">
        <f>ROUND(P29*(1-R29)/Parameters!$B$10,0)*Parameters!$B$10</f>
        <v>56.800000000000004</v>
      </c>
    </row>
    <row r="30" spans="1:19" x14ac:dyDescent="0.35">
      <c r="A30" s="8" t="s">
        <v>137</v>
      </c>
      <c r="B30" s="8" t="s">
        <v>122</v>
      </c>
      <c r="C30" s="9">
        <v>7.5</v>
      </c>
      <c r="D30" s="10">
        <v>-145</v>
      </c>
      <c r="E30" s="10">
        <v>115</v>
      </c>
      <c r="F30" s="11">
        <f t="shared" si="0"/>
        <v>0.59183673469387754</v>
      </c>
      <c r="G30" s="11">
        <f t="shared" si="1"/>
        <v>0.46511627906976744</v>
      </c>
      <c r="H30" s="11">
        <f t="shared" si="2"/>
        <v>0.55994611585092058</v>
      </c>
      <c r="I30" s="12">
        <f>C30+Parameters!$B$6*NORMSINV(H30)</f>
        <v>7.8318317229924643</v>
      </c>
      <c r="J30" s="10">
        <v>38</v>
      </c>
      <c r="K30" s="9">
        <v>48.91</v>
      </c>
      <c r="L30" s="13">
        <v>0.57779999999999998</v>
      </c>
      <c r="M30" s="10">
        <v>1</v>
      </c>
      <c r="N30" s="14">
        <f>Parameters!$B$2*I30</f>
        <v>39.159158614962323</v>
      </c>
      <c r="O30" s="14">
        <f>Parameters!$B$4*((Parameters!$B$9-M30)*L30+M30)</f>
        <v>18.389499999999998</v>
      </c>
      <c r="P30" s="14">
        <f t="shared" si="3"/>
        <v>57.548658614962321</v>
      </c>
      <c r="Q30" s="11">
        <f>(O30-Parameters!$B$4*M30)/P30</f>
        <v>0.27610547982205824</v>
      </c>
      <c r="R30" s="15">
        <f>IF(Parameters!$B$4*M30/P30&gt;Parameters!$B$18,0,Parameters!$B$16+(Parameters!$B$17-Parameters!$B$16)*(Q30-MIN(Q$2:Q$139))/(MAX(Q$2:Q$139)-MIN(Q$2:Q$139)))</f>
        <v>2.2888437877126806E-2</v>
      </c>
      <c r="S30" s="16">
        <f>ROUND(P30*(1-R30)/Parameters!$B$10,0)*Parameters!$B$10</f>
        <v>56.230000000000004</v>
      </c>
    </row>
    <row r="31" spans="1:19" x14ac:dyDescent="0.35">
      <c r="A31" s="8" t="s">
        <v>138</v>
      </c>
      <c r="B31" s="8" t="s">
        <v>109</v>
      </c>
      <c r="C31" s="9">
        <v>7.5</v>
      </c>
      <c r="D31" s="10">
        <v>-190</v>
      </c>
      <c r="E31" s="10">
        <v>145</v>
      </c>
      <c r="F31" s="11">
        <f t="shared" si="0"/>
        <v>0.65517241379310343</v>
      </c>
      <c r="G31" s="11">
        <f t="shared" si="1"/>
        <v>0.40816326530612246</v>
      </c>
      <c r="H31" s="11">
        <f t="shared" si="2"/>
        <v>0.61614824619457309</v>
      </c>
      <c r="I31" s="12">
        <f>C31+Parameters!$B$6*NORMSINV(H31)</f>
        <v>8.1498362942268976</v>
      </c>
      <c r="J31" s="10">
        <v>63</v>
      </c>
      <c r="K31" s="9">
        <v>64.97</v>
      </c>
      <c r="L31" s="13">
        <v>0.51749999999999996</v>
      </c>
      <c r="M31" s="10">
        <v>1</v>
      </c>
      <c r="N31" s="14">
        <f>Parameters!$B$2*I31</f>
        <v>40.749181471134492</v>
      </c>
      <c r="O31" s="14">
        <f>Parameters!$B$4*((Parameters!$B$9-M31)*L31+M31)</f>
        <v>16.731249999999999</v>
      </c>
      <c r="P31" s="14">
        <f t="shared" si="3"/>
        <v>57.480431471134494</v>
      </c>
      <c r="Q31" s="11">
        <f>(O31-Parameters!$B$4*M31)/P31</f>
        <v>0.24758425842969958</v>
      </c>
      <c r="R31" s="15">
        <f>IF(Parameters!$B$4*M31/P31&gt;Parameters!$B$18,0,Parameters!$B$16+(Parameters!$B$17-Parameters!$B$16)*(Q31-MIN(Q$2:Q$139))/(MAX(Q$2:Q$139)-MIN(Q$2:Q$139)))</f>
        <v>2.1349825533238068E-2</v>
      </c>
      <c r="S31" s="16">
        <f>ROUND(P31*(1-R31)/Parameters!$B$10,0)*Parameters!$B$10</f>
        <v>56.25</v>
      </c>
    </row>
    <row r="32" spans="1:19" x14ac:dyDescent="0.35">
      <c r="A32" s="8" t="s">
        <v>139</v>
      </c>
      <c r="B32" s="8" t="s">
        <v>107</v>
      </c>
      <c r="C32" s="9">
        <v>7.5</v>
      </c>
      <c r="D32" s="10">
        <v>-160</v>
      </c>
      <c r="E32" s="10">
        <v>125</v>
      </c>
      <c r="F32" s="11">
        <f t="shared" si="0"/>
        <v>0.61538461538461542</v>
      </c>
      <c r="G32" s="11">
        <f t="shared" si="1"/>
        <v>0.44444444444444442</v>
      </c>
      <c r="H32" s="11">
        <f t="shared" si="2"/>
        <v>0.58064516129032262</v>
      </c>
      <c r="I32" s="12">
        <f>C32+Parameters!$B$6*NORMSINV(H32)</f>
        <v>7.9477973093714702</v>
      </c>
      <c r="J32" s="10">
        <v>65</v>
      </c>
      <c r="K32" s="9">
        <v>65.489999999999995</v>
      </c>
      <c r="L32" s="13">
        <v>0.54449999999999998</v>
      </c>
      <c r="M32" s="10">
        <v>1</v>
      </c>
      <c r="N32" s="14">
        <f>Parameters!$B$2*I32</f>
        <v>39.738986546857348</v>
      </c>
      <c r="O32" s="14">
        <f>Parameters!$B$4*((Parameters!$B$9-M32)*L32+M32)</f>
        <v>17.473749999999999</v>
      </c>
      <c r="P32" s="14">
        <f t="shared" si="3"/>
        <v>57.212736546857343</v>
      </c>
      <c r="Q32" s="11">
        <f>(O32-Parameters!$B$4*M32)/P32</f>
        <v>0.26172056964512558</v>
      </c>
      <c r="R32" s="15">
        <f>IF(Parameters!$B$4*M32/P32&gt;Parameters!$B$18,0,Parameters!$B$16+(Parameters!$B$17-Parameters!$B$16)*(Q32-MIN(Q$2:Q$139))/(MAX(Q$2:Q$139)-MIN(Q$2:Q$139)))</f>
        <v>2.2112426216914768E-2</v>
      </c>
      <c r="S32" s="16">
        <f>ROUND(P32*(1-R32)/Parameters!$B$10,0)*Parameters!$B$10</f>
        <v>55.95</v>
      </c>
    </row>
    <row r="33" spans="1:19" x14ac:dyDescent="0.35">
      <c r="A33" s="8" t="s">
        <v>140</v>
      </c>
      <c r="B33" s="8" t="s">
        <v>109</v>
      </c>
      <c r="C33" s="9">
        <v>7.5</v>
      </c>
      <c r="D33" s="10">
        <v>-145</v>
      </c>
      <c r="E33" s="10">
        <v>115</v>
      </c>
      <c r="F33" s="11">
        <f t="shared" si="0"/>
        <v>0.59183673469387754</v>
      </c>
      <c r="G33" s="11">
        <f t="shared" si="1"/>
        <v>0.46511627906976744</v>
      </c>
      <c r="H33" s="11">
        <f t="shared" si="2"/>
        <v>0.55994611585092058</v>
      </c>
      <c r="I33" s="12">
        <f>C33+Parameters!$B$6*NORMSINV(H33)</f>
        <v>7.8318317229924643</v>
      </c>
      <c r="J33" s="10">
        <v>83</v>
      </c>
      <c r="K33" s="9">
        <v>75.91</v>
      </c>
      <c r="L33" s="13">
        <v>0.55730000000000002</v>
      </c>
      <c r="M33" s="10">
        <v>1</v>
      </c>
      <c r="N33" s="14">
        <f>Parameters!$B$2*I33</f>
        <v>39.159158614962323</v>
      </c>
      <c r="O33" s="14">
        <f>Parameters!$B$4*((Parameters!$B$9-M33)*L33+M33)</f>
        <v>17.825749999999999</v>
      </c>
      <c r="P33" s="14">
        <f t="shared" si="3"/>
        <v>56.984908614962322</v>
      </c>
      <c r="Q33" s="11">
        <f>(O33-Parameters!$B$4*M33)/P33</f>
        <v>0.26894401294127851</v>
      </c>
      <c r="R33" s="15">
        <f>IF(Parameters!$B$4*M33/P33&gt;Parameters!$B$18,0,Parameters!$B$16+(Parameters!$B$17-Parameters!$B$16)*(Q33-MIN(Q$2:Q$139))/(MAX(Q$2:Q$139)-MIN(Q$2:Q$139)))</f>
        <v>2.2502103743972532E-2</v>
      </c>
      <c r="S33" s="16">
        <f>ROUND(P33*(1-R33)/Parameters!$B$10,0)*Parameters!$B$10</f>
        <v>55.7</v>
      </c>
    </row>
    <row r="34" spans="1:19" x14ac:dyDescent="0.35">
      <c r="A34" s="8" t="s">
        <v>141</v>
      </c>
      <c r="B34" s="8" t="s">
        <v>99</v>
      </c>
      <c r="C34" s="9">
        <v>8.5</v>
      </c>
      <c r="D34" s="10">
        <v>120</v>
      </c>
      <c r="E34" s="10">
        <v>-155</v>
      </c>
      <c r="F34" s="11">
        <f t="shared" ref="F34:F65" si="4">IF(D34&gt;0,100/(D34+100),-D34/(-D34+100))</f>
        <v>0.45454545454545453</v>
      </c>
      <c r="G34" s="11">
        <f t="shared" ref="G34:G65" si="5">IF(E34&gt;0,100/(E34+100),-E34/(-E34+100))</f>
        <v>0.60784313725490191</v>
      </c>
      <c r="H34" s="11">
        <f t="shared" ref="H34:H65" si="6">F34/(F34+G34)</f>
        <v>0.42785234899328861</v>
      </c>
      <c r="I34" s="12">
        <f>C34+Parameters!$B$6*NORMSINV(H34)</f>
        <v>8.0999419241011861</v>
      </c>
      <c r="J34" s="10">
        <v>40</v>
      </c>
      <c r="K34" s="9">
        <v>51</v>
      </c>
      <c r="L34" s="13">
        <v>0.50760000000000005</v>
      </c>
      <c r="M34" s="10">
        <v>1</v>
      </c>
      <c r="N34" s="14">
        <f>Parameters!$B$2*I34</f>
        <v>40.499709620505932</v>
      </c>
      <c r="O34" s="14">
        <f>Parameters!$B$4*((Parameters!$B$9-M34)*L34+M34)</f>
        <v>16.459000000000003</v>
      </c>
      <c r="P34" s="14">
        <f t="shared" ref="P34:P65" si="7">N34+O34</f>
        <v>56.958709620505935</v>
      </c>
      <c r="Q34" s="11">
        <f>(O34-Parameters!$B$4*M34)/P34</f>
        <v>0.24507226538317797</v>
      </c>
      <c r="R34" s="15">
        <f>IF(Parameters!$B$4*M34/P34&gt;Parameters!$B$18,0,Parameters!$B$16+(Parameters!$B$17-Parameters!$B$16)*(Q34-MIN(Q$2:Q$139))/(MAX(Q$2:Q$139)-MIN(Q$2:Q$139)))</f>
        <v>2.1214312980813638E-2</v>
      </c>
      <c r="S34" s="16">
        <f>ROUND(P34*(1-R34)/Parameters!$B$10,0)*Parameters!$B$10</f>
        <v>55.75</v>
      </c>
    </row>
    <row r="35" spans="1:19" x14ac:dyDescent="0.35">
      <c r="A35" s="8" t="s">
        <v>142</v>
      </c>
      <c r="B35" s="8" t="s">
        <v>143</v>
      </c>
      <c r="C35" s="9">
        <v>7.5</v>
      </c>
      <c r="D35" s="10">
        <v>-130</v>
      </c>
      <c r="E35" s="10">
        <v>100</v>
      </c>
      <c r="F35" s="11">
        <f t="shared" si="4"/>
        <v>0.56521739130434778</v>
      </c>
      <c r="G35" s="11">
        <f t="shared" si="5"/>
        <v>0.5</v>
      </c>
      <c r="H35" s="11">
        <f t="shared" si="6"/>
        <v>0.53061224489795922</v>
      </c>
      <c r="I35" s="12">
        <f>C35+Parameters!$B$6*NORMSINV(H35)</f>
        <v>7.6689797466926981</v>
      </c>
      <c r="J35" s="10">
        <v>24</v>
      </c>
      <c r="K35" s="9">
        <v>39.96</v>
      </c>
      <c r="L35" s="13">
        <v>0.56010000000000004</v>
      </c>
      <c r="M35" s="10">
        <v>1</v>
      </c>
      <c r="N35" s="14">
        <f>Parameters!$B$2*I35</f>
        <v>38.344898733463488</v>
      </c>
      <c r="O35" s="14">
        <f>Parameters!$B$4*((Parameters!$B$9-M35)*L35+M35)</f>
        <v>17.902750000000001</v>
      </c>
      <c r="P35" s="14">
        <f t="shared" si="7"/>
        <v>56.247648733463492</v>
      </c>
      <c r="Q35" s="11">
        <f>(O35-Parameters!$B$4*M35)/P35</f>
        <v>0.27383811318030121</v>
      </c>
      <c r="R35" s="15">
        <f>IF(Parameters!$B$4*M35/P35&gt;Parameters!$B$18,0,Parameters!$B$16+(Parameters!$B$17-Parameters!$B$16)*(Q35-MIN(Q$2:Q$139))/(MAX(Q$2:Q$139)-MIN(Q$2:Q$139)))</f>
        <v>2.2766121996781529E-2</v>
      </c>
      <c r="S35" s="16">
        <f>ROUND(P35*(1-R35)/Parameters!$B$10,0)*Parameters!$B$10</f>
        <v>54.97</v>
      </c>
    </row>
    <row r="36" spans="1:19" x14ac:dyDescent="0.35">
      <c r="A36" s="8" t="s">
        <v>144</v>
      </c>
      <c r="B36" s="8" t="s">
        <v>107</v>
      </c>
      <c r="C36" s="9">
        <v>7.5</v>
      </c>
      <c r="D36" s="10">
        <v>-145</v>
      </c>
      <c r="E36" s="10">
        <v>110</v>
      </c>
      <c r="F36" s="11">
        <f t="shared" si="4"/>
        <v>0.59183673469387754</v>
      </c>
      <c r="G36" s="11">
        <f t="shared" si="5"/>
        <v>0.47619047619047616</v>
      </c>
      <c r="H36" s="11">
        <f t="shared" si="6"/>
        <v>0.55414012738853502</v>
      </c>
      <c r="I36" s="12">
        <f>C36+Parameters!$B$6*NORMSINV(H36)</f>
        <v>7.7994825671783001</v>
      </c>
      <c r="J36" s="10">
        <v>62</v>
      </c>
      <c r="K36" s="9">
        <v>63.2</v>
      </c>
      <c r="L36" s="13">
        <v>0.53539999999999999</v>
      </c>
      <c r="M36" s="10">
        <v>1</v>
      </c>
      <c r="N36" s="14">
        <f>Parameters!$B$2*I36</f>
        <v>38.997412835891502</v>
      </c>
      <c r="O36" s="14">
        <f>Parameters!$B$4*((Parameters!$B$9-M36)*L36+M36)</f>
        <v>17.223500000000001</v>
      </c>
      <c r="P36" s="14">
        <f t="shared" si="7"/>
        <v>56.220912835891504</v>
      </c>
      <c r="Q36" s="11">
        <f>(O36-Parameters!$B$4*M36)/P36</f>
        <v>0.26188653398385414</v>
      </c>
      <c r="R36" s="15">
        <f>IF(Parameters!$B$4*M36/P36&gt;Parameters!$B$18,0,Parameters!$B$16+(Parameters!$B$17-Parameters!$B$16)*(Q36-MIN(Q$2:Q$139))/(MAX(Q$2:Q$139)-MIN(Q$2:Q$139)))</f>
        <v>2.2121379367156836E-2</v>
      </c>
      <c r="S36" s="16">
        <f>ROUND(P36*(1-R36)/Parameters!$B$10,0)*Parameters!$B$10</f>
        <v>54.980000000000004</v>
      </c>
    </row>
    <row r="37" spans="1:19" x14ac:dyDescent="0.35">
      <c r="A37" s="8" t="s">
        <v>145</v>
      </c>
      <c r="B37" s="8" t="s">
        <v>103</v>
      </c>
      <c r="C37" s="9">
        <v>7.5</v>
      </c>
      <c r="D37" s="10">
        <v>-155</v>
      </c>
      <c r="E37" s="10">
        <v>120</v>
      </c>
      <c r="F37" s="11">
        <f t="shared" si="4"/>
        <v>0.60784313725490191</v>
      </c>
      <c r="G37" s="11">
        <f t="shared" si="5"/>
        <v>0.45454545454545453</v>
      </c>
      <c r="H37" s="11">
        <f t="shared" si="6"/>
        <v>0.57214765100671139</v>
      </c>
      <c r="I37" s="12">
        <f>C37+Parameters!$B$6*NORMSINV(H37)</f>
        <v>7.9000580758988148</v>
      </c>
      <c r="J37" s="10">
        <v>40</v>
      </c>
      <c r="K37" s="9">
        <v>50.33</v>
      </c>
      <c r="L37" s="13">
        <v>0.51500000000000001</v>
      </c>
      <c r="M37" s="10">
        <v>1</v>
      </c>
      <c r="N37" s="14">
        <f>Parameters!$B$2*I37</f>
        <v>39.500290379494075</v>
      </c>
      <c r="O37" s="14">
        <f>Parameters!$B$4*((Parameters!$B$9-M37)*L37+M37)</f>
        <v>16.662500000000001</v>
      </c>
      <c r="P37" s="14">
        <f t="shared" si="7"/>
        <v>56.162790379494076</v>
      </c>
      <c r="Q37" s="11">
        <f>(O37-Parameters!$B$4*M37)/P37</f>
        <v>0.25216873848865873</v>
      </c>
      <c r="R37" s="15">
        <f>IF(Parameters!$B$4*M37/P37&gt;Parameters!$B$18,0,Parameters!$B$16+(Parameters!$B$17-Parameters!$B$16)*(Q37-MIN(Q$2:Q$139))/(MAX(Q$2:Q$139)-MIN(Q$2:Q$139)))</f>
        <v>2.1597140944874547E-2</v>
      </c>
      <c r="S37" s="16">
        <f>ROUND(P37*(1-R37)/Parameters!$B$10,0)*Parameters!$B$10</f>
        <v>54.95</v>
      </c>
    </row>
    <row r="38" spans="1:19" x14ac:dyDescent="0.35">
      <c r="A38" s="8" t="s">
        <v>146</v>
      </c>
      <c r="B38" s="8" t="s">
        <v>103</v>
      </c>
      <c r="C38" s="9">
        <v>7.5</v>
      </c>
      <c r="D38" s="10">
        <v>-160</v>
      </c>
      <c r="E38" s="10">
        <v>125</v>
      </c>
      <c r="F38" s="11">
        <f t="shared" si="4"/>
        <v>0.61538461538461542</v>
      </c>
      <c r="G38" s="11">
        <f t="shared" si="5"/>
        <v>0.44444444444444442</v>
      </c>
      <c r="H38" s="11">
        <f t="shared" si="6"/>
        <v>0.58064516129032262</v>
      </c>
      <c r="I38" s="12">
        <f>C38+Parameters!$B$6*NORMSINV(H38)</f>
        <v>7.9477973093714702</v>
      </c>
      <c r="J38" s="10">
        <v>36</v>
      </c>
      <c r="K38" s="9">
        <v>48.09</v>
      </c>
      <c r="L38" s="13">
        <v>0.50319999999999998</v>
      </c>
      <c r="M38" s="10">
        <v>1</v>
      </c>
      <c r="N38" s="14">
        <f>Parameters!$B$2*I38</f>
        <v>39.738986546857348</v>
      </c>
      <c r="O38" s="14">
        <f>Parameters!$B$4*((Parameters!$B$9-M38)*L38+M38)</f>
        <v>16.338000000000001</v>
      </c>
      <c r="P38" s="14">
        <f t="shared" si="7"/>
        <v>56.076986546857349</v>
      </c>
      <c r="Q38" s="11">
        <f>(O38-Parameters!$B$4*M38)/P38</f>
        <v>0.2467678962819643</v>
      </c>
      <c r="R38" s="15">
        <f>IF(Parameters!$B$4*M38/P38&gt;Parameters!$B$18,0,Parameters!$B$16+(Parameters!$B$17-Parameters!$B$16)*(Q38-MIN(Q$2:Q$139))/(MAX(Q$2:Q$139)-MIN(Q$2:Q$139)))</f>
        <v>2.1305785873775043E-2</v>
      </c>
      <c r="S38" s="16">
        <f>ROUND(P38*(1-R38)/Parameters!$B$10,0)*Parameters!$B$10</f>
        <v>54.88</v>
      </c>
    </row>
    <row r="39" spans="1:19" x14ac:dyDescent="0.35">
      <c r="A39" s="8" t="s">
        <v>147</v>
      </c>
      <c r="B39" s="8" t="s">
        <v>109</v>
      </c>
      <c r="C39" s="9">
        <v>7.5</v>
      </c>
      <c r="D39" s="10">
        <v>-115</v>
      </c>
      <c r="E39" s="10">
        <v>-115</v>
      </c>
      <c r="F39" s="11">
        <f t="shared" si="4"/>
        <v>0.53488372093023251</v>
      </c>
      <c r="G39" s="11">
        <f t="shared" si="5"/>
        <v>0.53488372093023251</v>
      </c>
      <c r="H39" s="11">
        <f t="shared" si="6"/>
        <v>0.5</v>
      </c>
      <c r="I39" s="12">
        <f>C39+Parameters!$B$6*NORMSINV(H39)</f>
        <v>7.5</v>
      </c>
      <c r="J39" s="10">
        <v>84</v>
      </c>
      <c r="K39" s="9">
        <v>75.400000000000006</v>
      </c>
      <c r="L39" s="13">
        <v>0.55559999999999998</v>
      </c>
      <c r="M39" s="10">
        <v>1</v>
      </c>
      <c r="N39" s="14">
        <f>Parameters!$B$2*I39</f>
        <v>37.5</v>
      </c>
      <c r="O39" s="14">
        <f>Parameters!$B$4*((Parameters!$B$9-M39)*L39+M39)</f>
        <v>17.779</v>
      </c>
      <c r="P39" s="14">
        <f t="shared" si="7"/>
        <v>55.278999999999996</v>
      </c>
      <c r="Q39" s="11">
        <f>(O39-Parameters!$B$4*M39)/P39</f>
        <v>0.2763979087899564</v>
      </c>
      <c r="R39" s="15">
        <f>IF(Parameters!$B$4*M39/P39&gt;Parameters!$B$18,0,Parameters!$B$16+(Parameters!$B$17-Parameters!$B$16)*(Q39-MIN(Q$2:Q$139))/(MAX(Q$2:Q$139)-MIN(Q$2:Q$139)))</f>
        <v>2.2904213317229079E-2</v>
      </c>
      <c r="S39" s="16">
        <f>ROUND(P39*(1-R39)/Parameters!$B$10,0)*Parameters!$B$10</f>
        <v>54.01</v>
      </c>
    </row>
    <row r="40" spans="1:19" x14ac:dyDescent="0.35">
      <c r="A40" s="8" t="s">
        <v>148</v>
      </c>
      <c r="B40" s="8" t="s">
        <v>122</v>
      </c>
      <c r="C40" s="9">
        <v>7.5</v>
      </c>
      <c r="D40" s="10">
        <v>-110</v>
      </c>
      <c r="E40" s="10">
        <v>-115</v>
      </c>
      <c r="F40" s="11">
        <f t="shared" si="4"/>
        <v>0.52380952380952384</v>
      </c>
      <c r="G40" s="11">
        <f t="shared" si="5"/>
        <v>0.53488372093023251</v>
      </c>
      <c r="H40" s="11">
        <f t="shared" si="6"/>
        <v>0.4947698744769875</v>
      </c>
      <c r="I40" s="12">
        <f>C40+Parameters!$B$6*NORMSINV(H40)</f>
        <v>7.4711572166299209</v>
      </c>
      <c r="J40" s="10">
        <v>32</v>
      </c>
      <c r="K40" s="9">
        <v>44.1</v>
      </c>
      <c r="L40" s="13">
        <v>0.55159999999999998</v>
      </c>
      <c r="M40" s="10">
        <v>1</v>
      </c>
      <c r="N40" s="14">
        <f>Parameters!$B$2*I40</f>
        <v>37.355786083149603</v>
      </c>
      <c r="O40" s="14">
        <f>Parameters!$B$4*((Parameters!$B$9-M40)*L40+M40)</f>
        <v>17.669</v>
      </c>
      <c r="P40" s="14">
        <f t="shared" si="7"/>
        <v>55.024786083149607</v>
      </c>
      <c r="Q40" s="11">
        <f>(O40-Parameters!$B$4*M40)/P40</f>
        <v>0.27567576504664043</v>
      </c>
      <c r="R40" s="15">
        <f>IF(Parameters!$B$4*M40/P40&gt;Parameters!$B$18,0,Parameters!$B$16+(Parameters!$B$17-Parameters!$B$16)*(Q40-MIN(Q$2:Q$139))/(MAX(Q$2:Q$139)-MIN(Q$2:Q$139)))</f>
        <v>2.2865256385397763E-2</v>
      </c>
      <c r="S40" s="16">
        <f>ROUND(P40*(1-R40)/Parameters!$B$10,0)*Parameters!$B$10</f>
        <v>53.77</v>
      </c>
    </row>
    <row r="41" spans="1:19" x14ac:dyDescent="0.35">
      <c r="A41" s="8" t="s">
        <v>149</v>
      </c>
      <c r="B41" s="8" t="s">
        <v>122</v>
      </c>
      <c r="C41" s="9">
        <v>7.5</v>
      </c>
      <c r="D41" s="10">
        <v>-125</v>
      </c>
      <c r="E41" s="10">
        <v>-105</v>
      </c>
      <c r="F41" s="11">
        <f t="shared" si="4"/>
        <v>0.55555555555555558</v>
      </c>
      <c r="G41" s="11">
        <f t="shared" si="5"/>
        <v>0.51219512195121952</v>
      </c>
      <c r="H41" s="11">
        <f t="shared" si="6"/>
        <v>0.52030456852791884</v>
      </c>
      <c r="I41" s="12">
        <f>C41+Parameters!$B$6*NORMSINV(H41)</f>
        <v>7.6120195979133776</v>
      </c>
      <c r="J41" s="10">
        <v>24</v>
      </c>
      <c r="K41" s="9">
        <v>39.770000000000003</v>
      </c>
      <c r="L41" s="13">
        <v>0.52510000000000001</v>
      </c>
      <c r="M41" s="10">
        <v>1</v>
      </c>
      <c r="N41" s="14">
        <f>Parameters!$B$2*I41</f>
        <v>38.060097989566884</v>
      </c>
      <c r="O41" s="14">
        <f>Parameters!$B$4*((Parameters!$B$9-M41)*L41+M41)</f>
        <v>16.940250000000002</v>
      </c>
      <c r="P41" s="14">
        <f t="shared" si="7"/>
        <v>55.00034798956689</v>
      </c>
      <c r="Q41" s="11">
        <f>(O41-Parameters!$B$4*M41)/P41</f>
        <v>0.26254833883485967</v>
      </c>
      <c r="R41" s="15">
        <f>IF(Parameters!$B$4*M41/P41&gt;Parameters!$B$18,0,Parameters!$B$16+(Parameters!$B$17-Parameters!$B$16)*(Q41-MIN(Q$2:Q$139))/(MAX(Q$2:Q$139)-MIN(Q$2:Q$139)))</f>
        <v>2.2157081243278996E-2</v>
      </c>
      <c r="S41" s="16">
        <f>ROUND(P41*(1-R41)/Parameters!$B$10,0)*Parameters!$B$10</f>
        <v>53.78</v>
      </c>
    </row>
    <row r="42" spans="1:19" x14ac:dyDescent="0.35">
      <c r="A42" s="8" t="s">
        <v>150</v>
      </c>
      <c r="B42" s="8" t="s">
        <v>117</v>
      </c>
      <c r="C42" s="9">
        <v>7.5</v>
      </c>
      <c r="D42" s="10">
        <v>-120</v>
      </c>
      <c r="E42" s="10">
        <v>-110</v>
      </c>
      <c r="F42" s="11">
        <f t="shared" si="4"/>
        <v>0.54545454545454541</v>
      </c>
      <c r="G42" s="11">
        <f t="shared" si="5"/>
        <v>0.52380952380952384</v>
      </c>
      <c r="H42" s="11">
        <f t="shared" si="6"/>
        <v>0.51012145748987858</v>
      </c>
      <c r="I42" s="12">
        <f>C42+Parameters!$B$6*NORMSINV(H42)</f>
        <v>7.5558215985464079</v>
      </c>
      <c r="J42" s="10">
        <v>22</v>
      </c>
      <c r="K42" s="9">
        <v>38.39</v>
      </c>
      <c r="L42" s="13">
        <v>0.52769999999999995</v>
      </c>
      <c r="M42" s="10">
        <v>1</v>
      </c>
      <c r="N42" s="14">
        <f>Parameters!$B$2*I42</f>
        <v>37.779107992732037</v>
      </c>
      <c r="O42" s="14">
        <f>Parameters!$B$4*((Parameters!$B$9-M42)*L42+M42)</f>
        <v>17.011749999999999</v>
      </c>
      <c r="P42" s="14">
        <f t="shared" si="7"/>
        <v>54.790857992732036</v>
      </c>
      <c r="Q42" s="11">
        <f>(O42-Parameters!$B$4*M42)/P42</f>
        <v>0.26485714098371982</v>
      </c>
      <c r="R42" s="15">
        <f>IF(Parameters!$B$4*M42/P42&gt;Parameters!$B$18,0,Parameters!$B$16+(Parameters!$B$17-Parameters!$B$16)*(Q42-MIN(Q$2:Q$139))/(MAX(Q$2:Q$139)-MIN(Q$2:Q$139)))</f>
        <v>2.2281632412983976E-2</v>
      </c>
      <c r="S42" s="16">
        <f>ROUND(P42*(1-R42)/Parameters!$B$10,0)*Parameters!$B$10</f>
        <v>53.57</v>
      </c>
    </row>
    <row r="43" spans="1:19" x14ac:dyDescent="0.35">
      <c r="A43" s="8" t="s">
        <v>151</v>
      </c>
      <c r="B43" s="8" t="s">
        <v>130</v>
      </c>
      <c r="C43" s="9">
        <v>7.5</v>
      </c>
      <c r="D43" s="10">
        <v>100</v>
      </c>
      <c r="E43" s="10">
        <v>-125</v>
      </c>
      <c r="F43" s="11">
        <f t="shared" si="4"/>
        <v>0.5</v>
      </c>
      <c r="G43" s="11">
        <f t="shared" si="5"/>
        <v>0.55555555555555558</v>
      </c>
      <c r="H43" s="11">
        <f t="shared" si="6"/>
        <v>0.47368421052631576</v>
      </c>
      <c r="I43" s="12">
        <f>C43+Parameters!$B$6*NORMSINV(H43)</f>
        <v>7.3547740127731505</v>
      </c>
      <c r="J43" s="10">
        <v>26</v>
      </c>
      <c r="K43" s="9">
        <v>40.119999999999997</v>
      </c>
      <c r="L43" s="13">
        <v>0.54490000000000005</v>
      </c>
      <c r="M43" s="10">
        <v>1</v>
      </c>
      <c r="N43" s="14">
        <f>Parameters!$B$2*I43</f>
        <v>36.773870063865751</v>
      </c>
      <c r="O43" s="14">
        <f>Parameters!$B$4*((Parameters!$B$9-M43)*L43+M43)</f>
        <v>17.484750000000002</v>
      </c>
      <c r="P43" s="14">
        <f t="shared" si="7"/>
        <v>54.258620063865749</v>
      </c>
      <c r="Q43" s="11">
        <f>(O43-Parameters!$B$4*M43)/P43</f>
        <v>0.27617270734792049</v>
      </c>
      <c r="R43" s="15">
        <f>IF(Parameters!$B$4*M43/P43&gt;Parameters!$B$18,0,Parameters!$B$16+(Parameters!$B$17-Parameters!$B$16)*(Q43-MIN(Q$2:Q$139))/(MAX(Q$2:Q$139)-MIN(Q$2:Q$139)))</f>
        <v>2.2892064548639846E-2</v>
      </c>
      <c r="S43" s="16">
        <f>ROUND(P43*(1-R43)/Parameters!$B$10,0)*Parameters!$B$10</f>
        <v>53.02</v>
      </c>
    </row>
    <row r="44" spans="1:19" x14ac:dyDescent="0.35">
      <c r="A44" s="8" t="s">
        <v>152</v>
      </c>
      <c r="B44" s="8" t="s">
        <v>103</v>
      </c>
      <c r="C44" s="9">
        <v>7.5</v>
      </c>
      <c r="D44" s="10">
        <v>100</v>
      </c>
      <c r="E44" s="10">
        <v>-130</v>
      </c>
      <c r="F44" s="11">
        <f t="shared" si="4"/>
        <v>0.5</v>
      </c>
      <c r="G44" s="11">
        <f t="shared" si="5"/>
        <v>0.56521739130434778</v>
      </c>
      <c r="H44" s="11">
        <f t="shared" si="6"/>
        <v>0.46938775510204089</v>
      </c>
      <c r="I44" s="12">
        <f>C44+Parameters!$B$6*NORMSINV(H44)</f>
        <v>7.3310202533073028</v>
      </c>
      <c r="J44" s="10">
        <v>48</v>
      </c>
      <c r="K44" s="9">
        <v>53.24</v>
      </c>
      <c r="L44" s="13">
        <v>0.52939999999999998</v>
      </c>
      <c r="M44" s="10">
        <v>1</v>
      </c>
      <c r="N44" s="14">
        <f>Parameters!$B$2*I44</f>
        <v>36.655101266536512</v>
      </c>
      <c r="O44" s="14">
        <f>Parameters!$B$4*((Parameters!$B$9-M44)*L44+M44)</f>
        <v>17.058499999999999</v>
      </c>
      <c r="P44" s="14">
        <f t="shared" si="7"/>
        <v>53.713601266536514</v>
      </c>
      <c r="Q44" s="11">
        <f>(O44-Parameters!$B$4*M44)/P44</f>
        <v>0.27103935794135481</v>
      </c>
      <c r="R44" s="15">
        <f>IF(Parameters!$B$4*M44/P44&gt;Parameters!$B$18,0,Parameters!$B$16+(Parameters!$B$17-Parameters!$B$16)*(Q44-MIN(Q$2:Q$139))/(MAX(Q$2:Q$139)-MIN(Q$2:Q$139)))</f>
        <v>2.2615139705422858E-2</v>
      </c>
      <c r="S44" s="16">
        <f>ROUND(P44*(1-R44)/Parameters!$B$10,0)*Parameters!$B$10</f>
        <v>52.5</v>
      </c>
    </row>
    <row r="45" spans="1:19" x14ac:dyDescent="0.35">
      <c r="A45" s="8" t="s">
        <v>153</v>
      </c>
      <c r="B45" s="8" t="s">
        <v>117</v>
      </c>
      <c r="C45" s="9">
        <v>7.5</v>
      </c>
      <c r="D45" s="10">
        <v>105</v>
      </c>
      <c r="E45" s="10">
        <v>-135</v>
      </c>
      <c r="F45" s="11">
        <f t="shared" si="4"/>
        <v>0.48780487804878048</v>
      </c>
      <c r="G45" s="11">
        <f t="shared" si="5"/>
        <v>0.57446808510638303</v>
      </c>
      <c r="H45" s="11">
        <f t="shared" si="6"/>
        <v>0.45920859794821689</v>
      </c>
      <c r="I45" s="12">
        <f>C45+Parameters!$B$6*NORMSINV(H45)</f>
        <v>7.2746590545189376</v>
      </c>
      <c r="J45" s="10">
        <v>26</v>
      </c>
      <c r="K45" s="9">
        <v>39.85</v>
      </c>
      <c r="L45" s="13">
        <v>0.5373</v>
      </c>
      <c r="M45" s="10">
        <v>1</v>
      </c>
      <c r="N45" s="14">
        <f>Parameters!$B$2*I45</f>
        <v>36.373295272594689</v>
      </c>
      <c r="O45" s="14">
        <f>Parameters!$B$4*((Parameters!$B$9-M45)*L45+M45)</f>
        <v>17.275750000000002</v>
      </c>
      <c r="P45" s="14">
        <f t="shared" si="7"/>
        <v>53.649045272594691</v>
      </c>
      <c r="Q45" s="11">
        <f>(O45-Parameters!$B$4*M45)/P45</f>
        <v>0.27541496637868101</v>
      </c>
      <c r="R45" s="15">
        <f>IF(Parameters!$B$4*M45/P45&gt;Parameters!$B$18,0,Parameters!$B$16+(Parameters!$B$17-Parameters!$B$16)*(Q45-MIN(Q$2:Q$139))/(MAX(Q$2:Q$139)-MIN(Q$2:Q$139)))</f>
        <v>2.2851187280702984E-2</v>
      </c>
      <c r="S45" s="16">
        <f>ROUND(P45*(1-R45)/Parameters!$B$10,0)*Parameters!$B$10</f>
        <v>52.42</v>
      </c>
    </row>
    <row r="46" spans="1:19" x14ac:dyDescent="0.35">
      <c r="A46" s="8" t="s">
        <v>154</v>
      </c>
      <c r="B46" s="8" t="s">
        <v>125</v>
      </c>
      <c r="C46" s="9">
        <v>7.5</v>
      </c>
      <c r="D46" s="10">
        <v>105</v>
      </c>
      <c r="E46" s="10">
        <v>-135</v>
      </c>
      <c r="F46" s="11">
        <f t="shared" si="4"/>
        <v>0.48780487804878048</v>
      </c>
      <c r="G46" s="11">
        <f t="shared" si="5"/>
        <v>0.57446808510638303</v>
      </c>
      <c r="H46" s="11">
        <f t="shared" si="6"/>
        <v>0.45920859794821689</v>
      </c>
      <c r="I46" s="12">
        <f>C46+Parameters!$B$6*NORMSINV(H46)</f>
        <v>7.2746590545189376</v>
      </c>
      <c r="J46" s="10">
        <v>20</v>
      </c>
      <c r="K46" s="9">
        <v>36.25</v>
      </c>
      <c r="L46" s="13">
        <v>0.53300000000000003</v>
      </c>
      <c r="M46" s="10">
        <v>1</v>
      </c>
      <c r="N46" s="14">
        <f>Parameters!$B$2*I46</f>
        <v>36.373295272594689</v>
      </c>
      <c r="O46" s="14">
        <f>Parameters!$B$4*((Parameters!$B$9-M46)*L46+M46)</f>
        <v>17.157500000000002</v>
      </c>
      <c r="P46" s="14">
        <f t="shared" si="7"/>
        <v>53.530795272594688</v>
      </c>
      <c r="Q46" s="11">
        <f>(O46-Parameters!$B$4*M46)/P46</f>
        <v>0.27381435163366552</v>
      </c>
      <c r="R46" s="15">
        <f>IF(Parameters!$B$4*M46/P46&gt;Parameters!$B$18,0,Parameters!$B$16+(Parameters!$B$17-Parameters!$B$16)*(Q46-MIN(Q$2:Q$139))/(MAX(Q$2:Q$139)-MIN(Q$2:Q$139)))</f>
        <v>2.2764840150942579E-2</v>
      </c>
      <c r="S46" s="16">
        <f>ROUND(P46*(1-R46)/Parameters!$B$10,0)*Parameters!$B$10</f>
        <v>52.31</v>
      </c>
    </row>
    <row r="47" spans="1:19" x14ac:dyDescent="0.35">
      <c r="A47" s="8" t="s">
        <v>155</v>
      </c>
      <c r="B47" s="8" t="s">
        <v>143</v>
      </c>
      <c r="C47" s="9">
        <v>7.5</v>
      </c>
      <c r="D47" s="10">
        <v>110</v>
      </c>
      <c r="E47" s="10">
        <v>-145</v>
      </c>
      <c r="F47" s="11">
        <f t="shared" si="4"/>
        <v>0.47619047619047616</v>
      </c>
      <c r="G47" s="11">
        <f t="shared" si="5"/>
        <v>0.59183673469387754</v>
      </c>
      <c r="H47" s="11">
        <f t="shared" si="6"/>
        <v>0.44585987261146492</v>
      </c>
      <c r="I47" s="12">
        <f>C47+Parameters!$B$6*NORMSINV(H47)</f>
        <v>7.2005174328216999</v>
      </c>
      <c r="J47" s="10">
        <v>22</v>
      </c>
      <c r="K47" s="9">
        <v>37.200000000000003</v>
      </c>
      <c r="L47" s="13">
        <v>0.54159999999999997</v>
      </c>
      <c r="M47" s="10">
        <v>1</v>
      </c>
      <c r="N47" s="14">
        <f>Parameters!$B$2*I47</f>
        <v>36.002587164108498</v>
      </c>
      <c r="O47" s="14">
        <f>Parameters!$B$4*((Parameters!$B$9-M47)*L47+M47)</f>
        <v>17.393999999999998</v>
      </c>
      <c r="P47" s="14">
        <f t="shared" si="7"/>
        <v>53.396587164108496</v>
      </c>
      <c r="Q47" s="11">
        <f>(O47-Parameters!$B$4*M47)/P47</f>
        <v>0.27893168442067168</v>
      </c>
      <c r="R47" s="15">
        <f>IF(Parameters!$B$4*M47/P47&gt;Parameters!$B$18,0,Parameters!$B$16+(Parameters!$B$17-Parameters!$B$16)*(Q47-MIN(Q$2:Q$139))/(MAX(Q$2:Q$139)-MIN(Q$2:Q$139)))</f>
        <v>2.3040900957931154E-2</v>
      </c>
      <c r="S47" s="16">
        <f>ROUND(P47*(1-R47)/Parameters!$B$10,0)*Parameters!$B$10</f>
        <v>52.17</v>
      </c>
    </row>
    <row r="48" spans="1:19" x14ac:dyDescent="0.35">
      <c r="A48" s="8" t="s">
        <v>156</v>
      </c>
      <c r="B48" s="8" t="s">
        <v>122</v>
      </c>
      <c r="C48" s="9">
        <v>7.5</v>
      </c>
      <c r="D48" s="10">
        <v>120</v>
      </c>
      <c r="E48" s="10">
        <v>-150</v>
      </c>
      <c r="F48" s="11">
        <f t="shared" si="4"/>
        <v>0.45454545454545453</v>
      </c>
      <c r="G48" s="11">
        <f t="shared" si="5"/>
        <v>0.6</v>
      </c>
      <c r="H48" s="11">
        <f t="shared" si="6"/>
        <v>0.43103448275862072</v>
      </c>
      <c r="I48" s="12">
        <f>C48+Parameters!$B$6*NORMSINV(H48)</f>
        <v>7.1177696637940997</v>
      </c>
      <c r="J48" s="10">
        <v>32</v>
      </c>
      <c r="K48" s="9">
        <v>42.93</v>
      </c>
      <c r="L48" s="13">
        <v>0.54469999999999996</v>
      </c>
      <c r="M48" s="10">
        <v>1</v>
      </c>
      <c r="N48" s="14">
        <f>Parameters!$B$2*I48</f>
        <v>35.588848318970498</v>
      </c>
      <c r="O48" s="14">
        <f>Parameters!$B$4*((Parameters!$B$9-M48)*L48+M48)</f>
        <v>17.47925</v>
      </c>
      <c r="P48" s="14">
        <f t="shared" si="7"/>
        <v>53.068098318970499</v>
      </c>
      <c r="Q48" s="11">
        <f>(O48-Parameters!$B$4*M48)/P48</f>
        <v>0.28226468395317078</v>
      </c>
      <c r="R48" s="15">
        <f>IF(Parameters!$B$4*M48/P48&gt;Parameters!$B$18,0,Parameters!$B$16+(Parameters!$B$17-Parameters!$B$16)*(Q48-MIN(Q$2:Q$139))/(MAX(Q$2:Q$139)-MIN(Q$2:Q$139)))</f>
        <v>2.3220703714353516E-2</v>
      </c>
      <c r="S48" s="16">
        <f>ROUND(P48*(1-R48)/Parameters!$B$10,0)*Parameters!$B$10</f>
        <v>51.84</v>
      </c>
    </row>
    <row r="49" spans="1:19" x14ac:dyDescent="0.35">
      <c r="A49" s="8" t="s">
        <v>157</v>
      </c>
      <c r="B49" s="8" t="s">
        <v>130</v>
      </c>
      <c r="C49" s="9">
        <v>7.5</v>
      </c>
      <c r="D49" s="10">
        <v>125</v>
      </c>
      <c r="E49" s="10">
        <v>-160</v>
      </c>
      <c r="F49" s="11">
        <f t="shared" si="4"/>
        <v>0.44444444444444442</v>
      </c>
      <c r="G49" s="11">
        <f t="shared" si="5"/>
        <v>0.61538461538461542</v>
      </c>
      <c r="H49" s="11">
        <f t="shared" si="6"/>
        <v>0.41935483870967738</v>
      </c>
      <c r="I49" s="12">
        <f>C49+Parameters!$B$6*NORMSINV(H49)</f>
        <v>7.0522026906285298</v>
      </c>
      <c r="J49" s="10">
        <v>30</v>
      </c>
      <c r="K49" s="9">
        <v>41.51</v>
      </c>
      <c r="L49" s="13">
        <v>0.55389999999999995</v>
      </c>
      <c r="M49" s="10">
        <v>1</v>
      </c>
      <c r="N49" s="14">
        <f>Parameters!$B$2*I49</f>
        <v>35.261013453142652</v>
      </c>
      <c r="O49" s="14">
        <f>Parameters!$B$4*((Parameters!$B$9-M49)*L49+M49)</f>
        <v>17.732249999999997</v>
      </c>
      <c r="P49" s="14">
        <f t="shared" si="7"/>
        <v>52.993263453142646</v>
      </c>
      <c r="Q49" s="11">
        <f>(O49-Parameters!$B$4*M49)/P49</f>
        <v>0.28743747803847852</v>
      </c>
      <c r="R49" s="15">
        <f>IF(Parameters!$B$4*M49/P49&gt;Parameters!$B$18,0,Parameters!$B$16+(Parameters!$B$17-Parameters!$B$16)*(Q49-MIN(Q$2:Q$139))/(MAX(Q$2:Q$139)-MIN(Q$2:Q$139)))</f>
        <v>2.349975644924731E-2</v>
      </c>
      <c r="S49" s="16">
        <f>ROUND(P49*(1-R49)/Parameters!$B$10,0)*Parameters!$B$10</f>
        <v>51.75</v>
      </c>
    </row>
    <row r="50" spans="1:19" x14ac:dyDescent="0.35">
      <c r="A50" s="8" t="s">
        <v>158</v>
      </c>
      <c r="B50" s="8" t="s">
        <v>117</v>
      </c>
      <c r="C50" s="9">
        <v>7.5</v>
      </c>
      <c r="D50" s="10">
        <v>115</v>
      </c>
      <c r="E50" s="10">
        <v>-145</v>
      </c>
      <c r="F50" s="11">
        <f t="shared" si="4"/>
        <v>0.46511627906976744</v>
      </c>
      <c r="G50" s="11">
        <f t="shared" si="5"/>
        <v>0.59183673469387754</v>
      </c>
      <c r="H50" s="11">
        <f t="shared" si="6"/>
        <v>0.44005388414907948</v>
      </c>
      <c r="I50" s="12">
        <f>C50+Parameters!$B$6*NORMSINV(H50)</f>
        <v>7.1681682770075357</v>
      </c>
      <c r="J50" s="10">
        <v>24</v>
      </c>
      <c r="K50" s="9">
        <v>38.29</v>
      </c>
      <c r="L50" s="13">
        <v>0.52700000000000002</v>
      </c>
      <c r="M50" s="10">
        <v>1</v>
      </c>
      <c r="N50" s="14">
        <f>Parameters!$B$2*I50</f>
        <v>35.840841385037677</v>
      </c>
      <c r="O50" s="14">
        <f>Parameters!$B$4*((Parameters!$B$9-M50)*L50+M50)</f>
        <v>16.9925</v>
      </c>
      <c r="P50" s="14">
        <f t="shared" si="7"/>
        <v>52.833341385037677</v>
      </c>
      <c r="Q50" s="11">
        <f>(O50-Parameters!$B$4*M50)/P50</f>
        <v>0.27430595188712131</v>
      </c>
      <c r="R50" s="15">
        <f>IF(Parameters!$B$4*M50/P50&gt;Parameters!$B$18,0,Parameters!$B$16+(Parameters!$B$17-Parameters!$B$16)*(Q50-MIN(Q$2:Q$139))/(MAX(Q$2:Q$139)-MIN(Q$2:Q$139)))</f>
        <v>2.2791360130848787E-2</v>
      </c>
      <c r="S50" s="16">
        <f>ROUND(P50*(1-R50)/Parameters!$B$10,0)*Parameters!$B$10</f>
        <v>51.63</v>
      </c>
    </row>
    <row r="51" spans="1:19" x14ac:dyDescent="0.35">
      <c r="A51" s="8" t="s">
        <v>159</v>
      </c>
      <c r="B51" s="8" t="s">
        <v>122</v>
      </c>
      <c r="C51" s="9">
        <v>7.5</v>
      </c>
      <c r="D51" s="10">
        <v>115</v>
      </c>
      <c r="E51" s="10">
        <v>-150</v>
      </c>
      <c r="F51" s="11">
        <f t="shared" si="4"/>
        <v>0.46511627906976744</v>
      </c>
      <c r="G51" s="11">
        <f t="shared" si="5"/>
        <v>0.6</v>
      </c>
      <c r="H51" s="11">
        <f t="shared" si="6"/>
        <v>0.43668122270742354</v>
      </c>
      <c r="I51" s="12">
        <f>C51+Parameters!$B$6*NORMSINV(H51)</f>
        <v>7.1493443132730956</v>
      </c>
      <c r="J51" s="10">
        <v>26</v>
      </c>
      <c r="K51" s="9">
        <v>39.43</v>
      </c>
      <c r="L51" s="13">
        <v>0.52290000000000003</v>
      </c>
      <c r="M51" s="10">
        <v>1</v>
      </c>
      <c r="N51" s="14">
        <f>Parameters!$B$2*I51</f>
        <v>35.74672156636548</v>
      </c>
      <c r="O51" s="14">
        <f>Parameters!$B$4*((Parameters!$B$9-M51)*L51+M51)</f>
        <v>16.879750000000001</v>
      </c>
      <c r="P51" s="14">
        <f t="shared" si="7"/>
        <v>52.626471566365481</v>
      </c>
      <c r="Q51" s="11">
        <f>(O51-Parameters!$B$4*M51)/P51</f>
        <v>0.27324176544623896</v>
      </c>
      <c r="R51" s="15">
        <f>IF(Parameters!$B$4*M51/P51&gt;Parameters!$B$18,0,Parameters!$B$16+(Parameters!$B$17-Parameters!$B$16)*(Q51-MIN(Q$2:Q$139))/(MAX(Q$2:Q$139)-MIN(Q$2:Q$139)))</f>
        <v>2.2733951285287244E-2</v>
      </c>
      <c r="S51" s="16">
        <f>ROUND(P51*(1-R51)/Parameters!$B$10,0)*Parameters!$B$10</f>
        <v>51.43</v>
      </c>
    </row>
    <row r="52" spans="1:19" x14ac:dyDescent="0.35">
      <c r="A52" s="8" t="s">
        <v>160</v>
      </c>
      <c r="B52" s="8" t="s">
        <v>109</v>
      </c>
      <c r="C52" s="9">
        <v>7.5</v>
      </c>
      <c r="D52" s="10">
        <v>130</v>
      </c>
      <c r="E52" s="10">
        <v>-165</v>
      </c>
      <c r="F52" s="11">
        <f t="shared" si="4"/>
        <v>0.43478260869565216</v>
      </c>
      <c r="G52" s="11">
        <f t="shared" si="5"/>
        <v>0.62264150943396224</v>
      </c>
      <c r="H52" s="11">
        <f t="shared" si="6"/>
        <v>0.4111714507370054</v>
      </c>
      <c r="I52" s="12">
        <f>C52+Parameters!$B$6*NORMSINV(H52)</f>
        <v>7.0060282749437315</v>
      </c>
      <c r="J52" s="10">
        <v>82</v>
      </c>
      <c r="K52" s="9">
        <v>72.55</v>
      </c>
      <c r="L52" s="13">
        <v>0.54579999999999995</v>
      </c>
      <c r="M52" s="10">
        <v>1</v>
      </c>
      <c r="N52" s="14">
        <f>Parameters!$B$2*I52</f>
        <v>35.03014137471866</v>
      </c>
      <c r="O52" s="14">
        <f>Parameters!$B$4*((Parameters!$B$9-M52)*L52+M52)</f>
        <v>17.509499999999999</v>
      </c>
      <c r="P52" s="14">
        <f t="shared" si="7"/>
        <v>52.539641374718656</v>
      </c>
      <c r="Q52" s="11">
        <f>(O52-Parameters!$B$4*M52)/P52</f>
        <v>0.28567952896652932</v>
      </c>
      <c r="R52" s="15">
        <f>IF(Parameters!$B$4*M52/P52&gt;Parameters!$B$18,0,Parameters!$B$16+(Parameters!$B$17-Parameters!$B$16)*(Q52-MIN(Q$2:Q$139))/(MAX(Q$2:Q$139)-MIN(Q$2:Q$139)))</f>
        <v>2.3404921725838395E-2</v>
      </c>
      <c r="S52" s="16">
        <f>ROUND(P52*(1-R52)/Parameters!$B$10,0)*Parameters!$B$10</f>
        <v>51.31</v>
      </c>
    </row>
    <row r="53" spans="1:19" x14ac:dyDescent="0.35">
      <c r="A53" s="8" t="s">
        <v>161</v>
      </c>
      <c r="B53" s="8" t="s">
        <v>99</v>
      </c>
      <c r="C53" s="9">
        <v>7.5</v>
      </c>
      <c r="D53" s="10">
        <v>110</v>
      </c>
      <c r="E53" s="10">
        <v>-140</v>
      </c>
      <c r="F53" s="11">
        <f t="shared" si="4"/>
        <v>0.47619047619047616</v>
      </c>
      <c r="G53" s="11">
        <f t="shared" si="5"/>
        <v>0.58333333333333337</v>
      </c>
      <c r="H53" s="11">
        <f t="shared" si="6"/>
        <v>0.449438202247191</v>
      </c>
      <c r="I53" s="12">
        <f>C53+Parameters!$B$6*NORMSINV(H53)</f>
        <v>7.2204221201109373</v>
      </c>
      <c r="J53" s="10">
        <v>43</v>
      </c>
      <c r="K53" s="9">
        <v>49.87</v>
      </c>
      <c r="L53" s="13">
        <v>0.50170000000000003</v>
      </c>
      <c r="M53" s="10">
        <v>1</v>
      </c>
      <c r="N53" s="14">
        <f>Parameters!$B$2*I53</f>
        <v>36.102110600554688</v>
      </c>
      <c r="O53" s="14">
        <f>Parameters!$B$4*((Parameters!$B$9-M53)*L53+M53)</f>
        <v>16.296750000000003</v>
      </c>
      <c r="P53" s="14">
        <f t="shared" si="7"/>
        <v>52.398860600554691</v>
      </c>
      <c r="Q53" s="11">
        <f>(O53-Parameters!$B$4*M53)/P53</f>
        <v>0.26330248104390941</v>
      </c>
      <c r="R53" s="15">
        <f>IF(Parameters!$B$4*M53/P53&gt;Parameters!$B$18,0,Parameters!$B$16+(Parameters!$B$17-Parameters!$B$16)*(Q53-MIN(Q$2:Q$139))/(MAX(Q$2:Q$139)-MIN(Q$2:Q$139)))</f>
        <v>2.2197764371674131E-2</v>
      </c>
      <c r="S53" s="16">
        <f>ROUND(P53*(1-R53)/Parameters!$B$10,0)*Parameters!$B$10</f>
        <v>51.24</v>
      </c>
    </row>
    <row r="54" spans="1:19" x14ac:dyDescent="0.35">
      <c r="A54" s="8" t="s">
        <v>162</v>
      </c>
      <c r="B54" s="8" t="s">
        <v>125</v>
      </c>
      <c r="C54" s="9">
        <v>6.5</v>
      </c>
      <c r="D54" s="10">
        <v>-180</v>
      </c>
      <c r="E54" s="10">
        <v>135</v>
      </c>
      <c r="F54" s="11">
        <f t="shared" si="4"/>
        <v>0.6428571428571429</v>
      </c>
      <c r="G54" s="11">
        <f t="shared" si="5"/>
        <v>0.42553191489361702</v>
      </c>
      <c r="H54" s="11">
        <f t="shared" si="6"/>
        <v>0.60170697012802277</v>
      </c>
      <c r="I54" s="12">
        <f>C54+Parameters!$B$6*NORMSINV(H54)</f>
        <v>7.0670893224956286</v>
      </c>
      <c r="J54" s="10">
        <v>20</v>
      </c>
      <c r="K54" s="9">
        <v>35.56</v>
      </c>
      <c r="L54" s="13">
        <v>0.52800000000000002</v>
      </c>
      <c r="M54" s="10">
        <v>1</v>
      </c>
      <c r="N54" s="14">
        <f>Parameters!$B$2*I54</f>
        <v>35.335446612478144</v>
      </c>
      <c r="O54" s="14">
        <f>Parameters!$B$4*((Parameters!$B$9-M54)*L54+M54)</f>
        <v>17.02</v>
      </c>
      <c r="P54" s="14">
        <f t="shared" si="7"/>
        <v>52.355446612478147</v>
      </c>
      <c r="Q54" s="11">
        <f>(O54-Parameters!$B$4*M54)/P54</f>
        <v>0.27733504228267575</v>
      </c>
      <c r="R54" s="15">
        <f>IF(Parameters!$B$4*M54/P54&gt;Parameters!$B$18,0,Parameters!$B$16+(Parameters!$B$17-Parameters!$B$16)*(Q54-MIN(Q$2:Q$139))/(MAX(Q$2:Q$139)-MIN(Q$2:Q$139)))</f>
        <v>2.2954768135339212E-2</v>
      </c>
      <c r="S54" s="16">
        <f>ROUND(P54*(1-R54)/Parameters!$B$10,0)*Parameters!$B$10</f>
        <v>51.15</v>
      </c>
    </row>
    <row r="55" spans="1:19" x14ac:dyDescent="0.35">
      <c r="A55" s="8" t="s">
        <v>163</v>
      </c>
      <c r="B55" s="8" t="s">
        <v>143</v>
      </c>
      <c r="C55" s="9">
        <v>7.5</v>
      </c>
      <c r="D55" s="10">
        <v>135</v>
      </c>
      <c r="E55" s="10">
        <v>-175</v>
      </c>
      <c r="F55" s="11">
        <f t="shared" si="4"/>
        <v>0.42553191489361702</v>
      </c>
      <c r="G55" s="11">
        <f t="shared" si="5"/>
        <v>0.63636363636363635</v>
      </c>
      <c r="H55" s="11">
        <f t="shared" si="6"/>
        <v>0.40072859744990891</v>
      </c>
      <c r="I55" s="12">
        <f>C55+Parameters!$B$6*NORMSINV(H55)</f>
        <v>6.9467843309344603</v>
      </c>
      <c r="J55" s="10">
        <v>22</v>
      </c>
      <c r="K55" s="9">
        <v>36.36</v>
      </c>
      <c r="L55" s="13">
        <v>0.53569999999999995</v>
      </c>
      <c r="M55" s="10">
        <v>1</v>
      </c>
      <c r="N55" s="14">
        <f>Parameters!$B$2*I55</f>
        <v>34.733921654672301</v>
      </c>
      <c r="O55" s="14">
        <f>Parameters!$B$4*((Parameters!$B$9-M55)*L55+M55)</f>
        <v>17.231749999999998</v>
      </c>
      <c r="P55" s="14">
        <f t="shared" si="7"/>
        <v>51.965671654672299</v>
      </c>
      <c r="Q55" s="11">
        <f>(O55-Parameters!$B$4*M55)/P55</f>
        <v>0.28349003353400221</v>
      </c>
      <c r="R55" s="15">
        <f>IF(Parameters!$B$4*M55/P55&gt;Parameters!$B$18,0,Parameters!$B$16+(Parameters!$B$17-Parameters!$B$16)*(Q55-MIN(Q$2:Q$139))/(MAX(Q$2:Q$139)-MIN(Q$2:Q$139)))</f>
        <v>2.328680670358774E-2</v>
      </c>
      <c r="S55" s="16">
        <f>ROUND(P55*(1-R55)/Parameters!$B$10,0)*Parameters!$B$10</f>
        <v>50.76</v>
      </c>
    </row>
    <row r="56" spans="1:19" x14ac:dyDescent="0.35">
      <c r="A56" s="8" t="s">
        <v>164</v>
      </c>
      <c r="B56" s="8" t="s">
        <v>103</v>
      </c>
      <c r="C56" s="9">
        <v>6.5</v>
      </c>
      <c r="D56" s="10">
        <v>-160</v>
      </c>
      <c r="E56" s="10">
        <v>125</v>
      </c>
      <c r="F56" s="11">
        <f t="shared" si="4"/>
        <v>0.61538461538461542</v>
      </c>
      <c r="G56" s="11">
        <f t="shared" si="5"/>
        <v>0.44444444444444442</v>
      </c>
      <c r="H56" s="11">
        <f t="shared" si="6"/>
        <v>0.58064516129032262</v>
      </c>
      <c r="I56" s="12">
        <f>C56+Parameters!$B$6*NORMSINV(H56)</f>
        <v>6.9477973093714702</v>
      </c>
      <c r="J56" s="10">
        <v>52</v>
      </c>
      <c r="K56" s="9">
        <v>54.36</v>
      </c>
      <c r="L56" s="13">
        <v>0.53480000000000005</v>
      </c>
      <c r="M56" s="10">
        <v>1</v>
      </c>
      <c r="N56" s="14">
        <f>Parameters!$B$2*I56</f>
        <v>34.738986546857348</v>
      </c>
      <c r="O56" s="14">
        <f>Parameters!$B$4*((Parameters!$B$9-M56)*L56+M56)</f>
        <v>17.207000000000001</v>
      </c>
      <c r="P56" s="14">
        <f t="shared" si="7"/>
        <v>51.945986546857348</v>
      </c>
      <c r="Q56" s="11">
        <f>(O56-Parameters!$B$4*M56)/P56</f>
        <v>0.28312100660045608</v>
      </c>
      <c r="R56" s="15">
        <f>IF(Parameters!$B$4*M56/P56&gt;Parameters!$B$18,0,Parameters!$B$16+(Parameters!$B$17-Parameters!$B$16)*(Q56-MIN(Q$2:Q$139))/(MAX(Q$2:Q$139)-MIN(Q$2:Q$139)))</f>
        <v>2.3266899092080837E-2</v>
      </c>
      <c r="S56" s="16">
        <f>ROUND(P56*(1-R56)/Parameters!$B$10,0)*Parameters!$B$10</f>
        <v>50.74</v>
      </c>
    </row>
    <row r="57" spans="1:19" x14ac:dyDescent="0.35">
      <c r="A57" s="8" t="s">
        <v>165</v>
      </c>
      <c r="B57" s="8" t="s">
        <v>133</v>
      </c>
      <c r="C57" s="9">
        <v>7.5</v>
      </c>
      <c r="D57" s="10">
        <v>125</v>
      </c>
      <c r="E57" s="10">
        <v>-160</v>
      </c>
      <c r="F57" s="11">
        <f t="shared" si="4"/>
        <v>0.44444444444444442</v>
      </c>
      <c r="G57" s="11">
        <f t="shared" si="5"/>
        <v>0.61538461538461542</v>
      </c>
      <c r="H57" s="11">
        <f t="shared" si="6"/>
        <v>0.41935483870967738</v>
      </c>
      <c r="I57" s="12">
        <f>C57+Parameters!$B$6*NORMSINV(H57)</f>
        <v>7.0522026906285298</v>
      </c>
      <c r="J57" s="10">
        <v>26</v>
      </c>
      <c r="K57" s="9">
        <v>39.11</v>
      </c>
      <c r="L57" s="13">
        <v>0.50829999999999997</v>
      </c>
      <c r="M57" s="10">
        <v>1</v>
      </c>
      <c r="N57" s="14">
        <f>Parameters!$B$2*I57</f>
        <v>35.261013453142652</v>
      </c>
      <c r="O57" s="14">
        <f>Parameters!$B$4*((Parameters!$B$9-M57)*L57+M57)</f>
        <v>16.478249999999999</v>
      </c>
      <c r="P57" s="14">
        <f t="shared" si="7"/>
        <v>51.739263453142655</v>
      </c>
      <c r="Q57" s="11">
        <f>(O57-Parameters!$B$4*M57)/P57</f>
        <v>0.27016716255845652</v>
      </c>
      <c r="R57" s="15">
        <f>IF(Parameters!$B$4*M57/P57&gt;Parameters!$B$18,0,Parameters!$B$16+(Parameters!$B$17-Parameters!$B$16)*(Q57-MIN(Q$2:Q$139))/(MAX(Q$2:Q$139)-MIN(Q$2:Q$139)))</f>
        <v>2.2568088053463466E-2</v>
      </c>
      <c r="S57" s="16">
        <f>ROUND(P57*(1-R57)/Parameters!$B$10,0)*Parameters!$B$10</f>
        <v>50.57</v>
      </c>
    </row>
    <row r="58" spans="1:19" x14ac:dyDescent="0.35">
      <c r="A58" s="8" t="s">
        <v>166</v>
      </c>
      <c r="B58" s="8" t="s">
        <v>143</v>
      </c>
      <c r="C58" s="9">
        <v>6.5</v>
      </c>
      <c r="D58" s="10">
        <v>-150</v>
      </c>
      <c r="E58" s="10">
        <v>120</v>
      </c>
      <c r="F58" s="11">
        <f t="shared" si="4"/>
        <v>0.6</v>
      </c>
      <c r="G58" s="11">
        <f t="shared" si="5"/>
        <v>0.45454545454545453</v>
      </c>
      <c r="H58" s="11">
        <f t="shared" si="6"/>
        <v>0.56896551724137934</v>
      </c>
      <c r="I58" s="12">
        <f>C58+Parameters!$B$6*NORMSINV(H58)</f>
        <v>6.8822303362059003</v>
      </c>
      <c r="J58" s="10">
        <v>22</v>
      </c>
      <c r="K58" s="9">
        <v>36.14</v>
      </c>
      <c r="L58" s="13">
        <v>0.53420000000000001</v>
      </c>
      <c r="M58" s="10">
        <v>1</v>
      </c>
      <c r="N58" s="14">
        <f>Parameters!$B$2*I58</f>
        <v>34.411151681029502</v>
      </c>
      <c r="O58" s="14">
        <f>Parameters!$B$4*((Parameters!$B$9-M58)*L58+M58)</f>
        <v>17.1905</v>
      </c>
      <c r="P58" s="14">
        <f t="shared" si="7"/>
        <v>51.601651681029502</v>
      </c>
      <c r="Q58" s="11">
        <f>(O58-Parameters!$B$4*M58)/P58</f>
        <v>0.28469049965314813</v>
      </c>
      <c r="R58" s="15">
        <f>IF(Parameters!$B$4*M58/P58&gt;Parameters!$B$18,0,Parameters!$B$16+(Parameters!$B$17-Parameters!$B$16)*(Q58-MIN(Q$2:Q$139))/(MAX(Q$2:Q$139)-MIN(Q$2:Q$139)))</f>
        <v>2.3351567323896698E-2</v>
      </c>
      <c r="S58" s="16">
        <f>ROUND(P58*(1-R58)/Parameters!$B$10,0)*Parameters!$B$10</f>
        <v>50.4</v>
      </c>
    </row>
    <row r="59" spans="1:19" x14ac:dyDescent="0.35">
      <c r="A59" s="8" t="s">
        <v>167</v>
      </c>
      <c r="B59" s="8" t="s">
        <v>117</v>
      </c>
      <c r="C59" s="9">
        <v>6.5</v>
      </c>
      <c r="D59" s="10">
        <v>-155</v>
      </c>
      <c r="E59" s="10">
        <v>120</v>
      </c>
      <c r="F59" s="11">
        <f t="shared" si="4"/>
        <v>0.60784313725490191</v>
      </c>
      <c r="G59" s="11">
        <f t="shared" si="5"/>
        <v>0.45454545454545453</v>
      </c>
      <c r="H59" s="11">
        <f t="shared" si="6"/>
        <v>0.57214765100671139</v>
      </c>
      <c r="I59" s="12">
        <f>C59+Parameters!$B$6*NORMSINV(H59)</f>
        <v>6.9000580758988148</v>
      </c>
      <c r="J59" s="10">
        <v>22</v>
      </c>
      <c r="K59" s="9">
        <v>36.200000000000003</v>
      </c>
      <c r="L59" s="13">
        <v>0.51239999999999997</v>
      </c>
      <c r="M59" s="10">
        <v>1</v>
      </c>
      <c r="N59" s="14">
        <f>Parameters!$B$2*I59</f>
        <v>34.500290379494075</v>
      </c>
      <c r="O59" s="14">
        <f>Parameters!$B$4*((Parameters!$B$9-M59)*L59+M59)</f>
        <v>16.591000000000001</v>
      </c>
      <c r="P59" s="14">
        <f t="shared" si="7"/>
        <v>51.091290379494076</v>
      </c>
      <c r="Q59" s="11">
        <f>(O59-Parameters!$B$4*M59)/P59</f>
        <v>0.27580043282006328</v>
      </c>
      <c r="R59" s="15">
        <f>IF(Parameters!$B$4*M59/P59&gt;Parameters!$B$18,0,Parameters!$B$16+(Parameters!$B$17-Parameters!$B$16)*(Q59-MIN(Q$2:Q$139))/(MAX(Q$2:Q$139)-MIN(Q$2:Q$139)))</f>
        <v>2.2871981741666162E-2</v>
      </c>
      <c r="S59" s="16">
        <f>ROUND(P59*(1-R59)/Parameters!$B$10,0)*Parameters!$B$10</f>
        <v>49.92</v>
      </c>
    </row>
    <row r="60" spans="1:19" x14ac:dyDescent="0.35">
      <c r="A60" s="8" t="s">
        <v>168</v>
      </c>
      <c r="B60" s="8" t="s">
        <v>99</v>
      </c>
      <c r="C60" s="9">
        <v>6.5</v>
      </c>
      <c r="D60" s="10">
        <v>-155</v>
      </c>
      <c r="E60" s="10">
        <v>120</v>
      </c>
      <c r="F60" s="11">
        <f t="shared" si="4"/>
        <v>0.60784313725490191</v>
      </c>
      <c r="G60" s="11">
        <f t="shared" si="5"/>
        <v>0.45454545454545453</v>
      </c>
      <c r="H60" s="11">
        <f t="shared" si="6"/>
        <v>0.57214765100671139</v>
      </c>
      <c r="I60" s="12">
        <f>C60+Parameters!$B$6*NORMSINV(H60)</f>
        <v>6.9000580758988148</v>
      </c>
      <c r="J60" s="10">
        <v>48</v>
      </c>
      <c r="K60" s="9">
        <v>51.8</v>
      </c>
      <c r="L60" s="13">
        <v>0.51170000000000004</v>
      </c>
      <c r="M60" s="10">
        <v>1</v>
      </c>
      <c r="N60" s="14">
        <f>Parameters!$B$2*I60</f>
        <v>34.500290379494075</v>
      </c>
      <c r="O60" s="14">
        <f>Parameters!$B$4*((Parameters!$B$9-M60)*L60+M60)</f>
        <v>16.571750000000002</v>
      </c>
      <c r="P60" s="14">
        <f t="shared" si="7"/>
        <v>51.072040379494076</v>
      </c>
      <c r="Q60" s="11">
        <f>(O60-Parameters!$B$4*M60)/P60</f>
        <v>0.27552746856085952</v>
      </c>
      <c r="R60" s="15">
        <f>IF(Parameters!$B$4*M60/P60&gt;Parameters!$B$18,0,Parameters!$B$16+(Parameters!$B$17-Parameters!$B$16)*(Q60-MIN(Q$2:Q$139))/(MAX(Q$2:Q$139)-MIN(Q$2:Q$139)))</f>
        <v>2.2857256349198787E-2</v>
      </c>
      <c r="S60" s="16">
        <f>ROUND(P60*(1-R60)/Parameters!$B$10,0)*Parameters!$B$10</f>
        <v>49.9</v>
      </c>
    </row>
    <row r="61" spans="1:19" x14ac:dyDescent="0.35">
      <c r="A61" s="8" t="s">
        <v>169</v>
      </c>
      <c r="B61" s="8" t="s">
        <v>107</v>
      </c>
      <c r="C61" s="9">
        <v>7.5</v>
      </c>
      <c r="D61" s="10">
        <v>125</v>
      </c>
      <c r="E61" s="10">
        <v>-160</v>
      </c>
      <c r="F61" s="11">
        <f t="shared" si="4"/>
        <v>0.44444444444444442</v>
      </c>
      <c r="G61" s="11">
        <f t="shared" si="5"/>
        <v>0.61538461538461542</v>
      </c>
      <c r="H61" s="11">
        <f t="shared" si="6"/>
        <v>0.41935483870967738</v>
      </c>
      <c r="I61" s="12">
        <f>C61+Parameters!$B$6*NORMSINV(H61)</f>
        <v>7.0522026906285298</v>
      </c>
      <c r="J61" s="10">
        <v>45</v>
      </c>
      <c r="K61" s="9">
        <v>50.51</v>
      </c>
      <c r="L61" s="13">
        <v>0.4783</v>
      </c>
      <c r="M61" s="10">
        <v>1</v>
      </c>
      <c r="N61" s="14">
        <f>Parameters!$B$2*I61</f>
        <v>35.261013453142652</v>
      </c>
      <c r="O61" s="14">
        <f>Parameters!$B$4*((Parameters!$B$9-M61)*L61+M61)</f>
        <v>15.65325</v>
      </c>
      <c r="P61" s="14">
        <f t="shared" si="7"/>
        <v>50.914263453142652</v>
      </c>
      <c r="Q61" s="11">
        <f>(O61-Parameters!$B$4*M61)/P61</f>
        <v>0.25834116233666388</v>
      </c>
      <c r="R61" s="15">
        <f>IF(Parameters!$B$4*M61/P61&gt;Parameters!$B$18,0,Parameters!$B$16+(Parameters!$B$17-Parameters!$B$16)*(Q61-MIN(Q$2:Q$139))/(MAX(Q$2:Q$139)-MIN(Q$2:Q$139)))</f>
        <v>2.1930119935977585E-2</v>
      </c>
      <c r="S61" s="16">
        <f>ROUND(P61*(1-R61)/Parameters!$B$10,0)*Parameters!$B$10</f>
        <v>49.800000000000004</v>
      </c>
    </row>
    <row r="62" spans="1:19" x14ac:dyDescent="0.35">
      <c r="A62" s="8" t="s">
        <v>170</v>
      </c>
      <c r="B62" s="8" t="s">
        <v>133</v>
      </c>
      <c r="C62" s="9">
        <v>6.5</v>
      </c>
      <c r="D62" s="10">
        <v>-145</v>
      </c>
      <c r="E62" s="10">
        <v>115</v>
      </c>
      <c r="F62" s="11">
        <f t="shared" si="4"/>
        <v>0.59183673469387754</v>
      </c>
      <c r="G62" s="11">
        <f t="shared" si="5"/>
        <v>0.46511627906976744</v>
      </c>
      <c r="H62" s="11">
        <f t="shared" si="6"/>
        <v>0.55994611585092058</v>
      </c>
      <c r="I62" s="12">
        <f>C62+Parameters!$B$6*NORMSINV(H62)</f>
        <v>6.8318317229924643</v>
      </c>
      <c r="J62" s="10">
        <v>26</v>
      </c>
      <c r="K62" s="9">
        <v>38.369999999999997</v>
      </c>
      <c r="L62" s="13">
        <v>0.50309999999999999</v>
      </c>
      <c r="M62" s="10">
        <v>1</v>
      </c>
      <c r="N62" s="14">
        <f>Parameters!$B$2*I62</f>
        <v>34.159158614962323</v>
      </c>
      <c r="O62" s="14">
        <f>Parameters!$B$4*((Parameters!$B$9-M62)*L62+M62)</f>
        <v>16.335249999999998</v>
      </c>
      <c r="P62" s="14">
        <f t="shared" si="7"/>
        <v>50.494408614962325</v>
      </c>
      <c r="Q62" s="11">
        <f>(O62-Parameters!$B$4*M62)/P62</f>
        <v>0.27399568347257336</v>
      </c>
      <c r="R62" s="15">
        <f>IF(Parameters!$B$4*M62/P62&gt;Parameters!$B$18,0,Parameters!$B$16+(Parameters!$B$17-Parameters!$B$16)*(Q62-MIN(Q$2:Q$139))/(MAX(Q$2:Q$139)-MIN(Q$2:Q$139)))</f>
        <v>2.2774622319870253E-2</v>
      </c>
      <c r="S62" s="16">
        <f>ROUND(P62*(1-R62)/Parameters!$B$10,0)*Parameters!$B$10</f>
        <v>49.34</v>
      </c>
    </row>
    <row r="63" spans="1:19" x14ac:dyDescent="0.35">
      <c r="A63" s="8" t="s">
        <v>171</v>
      </c>
      <c r="B63" s="8" t="s">
        <v>107</v>
      </c>
      <c r="C63" s="9">
        <v>6.5</v>
      </c>
      <c r="D63" s="10">
        <v>-125</v>
      </c>
      <c r="E63" s="10">
        <v>100</v>
      </c>
      <c r="F63" s="11">
        <f t="shared" si="4"/>
        <v>0.55555555555555558</v>
      </c>
      <c r="G63" s="11">
        <f t="shared" si="5"/>
        <v>0.5</v>
      </c>
      <c r="H63" s="11">
        <f t="shared" si="6"/>
        <v>0.52631578947368418</v>
      </c>
      <c r="I63" s="12">
        <f>C63+Parameters!$B$6*NORMSINV(H63)</f>
        <v>6.6452259872268495</v>
      </c>
      <c r="J63" s="10">
        <v>68</v>
      </c>
      <c r="K63" s="9">
        <v>62.95</v>
      </c>
      <c r="L63" s="13">
        <v>0.53439999999999999</v>
      </c>
      <c r="M63" s="10">
        <v>1</v>
      </c>
      <c r="N63" s="14">
        <f>Parameters!$B$2*I63</f>
        <v>33.226129936134249</v>
      </c>
      <c r="O63" s="14">
        <f>Parameters!$B$4*((Parameters!$B$9-M63)*L63+M63)</f>
        <v>17.196000000000002</v>
      </c>
      <c r="P63" s="14">
        <f t="shared" si="7"/>
        <v>50.422129936134255</v>
      </c>
      <c r="Q63" s="11">
        <f>(O63-Parameters!$B$4*M63)/P63</f>
        <v>0.29145932586771461</v>
      </c>
      <c r="R63" s="15">
        <f>IF(Parameters!$B$4*M63/P63&gt;Parameters!$B$18,0,Parameters!$B$16+(Parameters!$B$17-Parameters!$B$16)*(Q63-MIN(Q$2:Q$139))/(MAX(Q$2:Q$139)-MIN(Q$2:Q$139)))</f>
        <v>2.3716719973711331E-2</v>
      </c>
      <c r="S63" s="16">
        <f>ROUND(P63*(1-R63)/Parameters!$B$10,0)*Parameters!$B$10</f>
        <v>49.230000000000004</v>
      </c>
    </row>
    <row r="64" spans="1:19" x14ac:dyDescent="0.35">
      <c r="A64" s="8" t="s">
        <v>172</v>
      </c>
      <c r="B64" s="8" t="s">
        <v>105</v>
      </c>
      <c r="C64" s="9">
        <v>4.5</v>
      </c>
      <c r="D64" s="10">
        <v>-125</v>
      </c>
      <c r="E64" s="10">
        <v>-105</v>
      </c>
      <c r="F64" s="11">
        <f t="shared" si="4"/>
        <v>0.55555555555555558</v>
      </c>
      <c r="G64" s="11">
        <f t="shared" si="5"/>
        <v>0.51219512195121952</v>
      </c>
      <c r="H64" s="11">
        <f t="shared" si="6"/>
        <v>0.52030456852791884</v>
      </c>
      <c r="I64" s="12">
        <f>C64+Parameters!$B$6*NORMSINV(H64)</f>
        <v>4.6120195979133776</v>
      </c>
      <c r="J64" s="10">
        <v>16</v>
      </c>
      <c r="K64" s="9">
        <v>24.97</v>
      </c>
      <c r="L64" s="13">
        <v>0.376</v>
      </c>
      <c r="M64" s="10">
        <v>10</v>
      </c>
      <c r="N64" s="14">
        <f>Parameters!$B$2*I64</f>
        <v>23.060097989566888</v>
      </c>
      <c r="O64" s="14">
        <f>Parameters!$B$4*((Parameters!$B$9-M64)*L64+M64)</f>
        <v>26.880000000000003</v>
      </c>
      <c r="P64" s="14">
        <f t="shared" si="7"/>
        <v>49.940097989566894</v>
      </c>
      <c r="Q64" s="11">
        <f>(O64-Parameters!$B$4*M64)/P64</f>
        <v>3.7645100343871127E-2</v>
      </c>
      <c r="R64" s="15">
        <f>IF(Parameters!$B$4*M64/P64&gt;Parameters!$B$18,0,Parameters!$B$16+(Parameters!$B$17-Parameters!$B$16)*(Q64-MIN(Q$2:Q$139))/(MAX(Q$2:Q$139)-MIN(Q$2:Q$139)))</f>
        <v>0</v>
      </c>
      <c r="S64" s="16">
        <f>ROUND(P64*(1-R64)/Parameters!$B$10,0)*Parameters!$B$10</f>
        <v>49.94</v>
      </c>
    </row>
    <row r="65" spans="1:19" x14ac:dyDescent="0.35">
      <c r="A65" s="8" t="s">
        <v>173</v>
      </c>
      <c r="B65" s="8" t="s">
        <v>109</v>
      </c>
      <c r="C65" s="9">
        <v>6.5</v>
      </c>
      <c r="D65" s="10">
        <v>-120</v>
      </c>
      <c r="E65" s="10">
        <v>-110</v>
      </c>
      <c r="F65" s="11">
        <f t="shared" si="4"/>
        <v>0.54545454545454541</v>
      </c>
      <c r="G65" s="11">
        <f t="shared" si="5"/>
        <v>0.52380952380952384</v>
      </c>
      <c r="H65" s="11">
        <f t="shared" si="6"/>
        <v>0.51012145748987858</v>
      </c>
      <c r="I65" s="12">
        <f>C65+Parameters!$B$6*NORMSINV(H65)</f>
        <v>6.5558215985464079</v>
      </c>
      <c r="J65" s="10">
        <v>76</v>
      </c>
      <c r="K65" s="9">
        <v>67.45</v>
      </c>
      <c r="L65" s="13">
        <v>0.52710000000000001</v>
      </c>
      <c r="M65" s="10">
        <v>1</v>
      </c>
      <c r="N65" s="14">
        <f>Parameters!$B$2*I65</f>
        <v>32.779107992732037</v>
      </c>
      <c r="O65" s="14">
        <f>Parameters!$B$4*((Parameters!$B$9-M65)*L65+M65)</f>
        <v>16.995249999999999</v>
      </c>
      <c r="P65" s="14">
        <f t="shared" si="7"/>
        <v>49.774357992732035</v>
      </c>
      <c r="Q65" s="11">
        <f>(O65-Parameters!$B$4*M65)/P65</f>
        <v>0.29121922581335091</v>
      </c>
      <c r="R65" s="15">
        <f>IF(Parameters!$B$4*M65/P65&gt;Parameters!$B$18,0,Parameters!$B$16+(Parameters!$B$17-Parameters!$B$16)*(Q65-MIN(Q$2:Q$139))/(MAX(Q$2:Q$139)-MIN(Q$2:Q$139)))</f>
        <v>2.370376748116796E-2</v>
      </c>
      <c r="S65" s="16">
        <f>ROUND(P65*(1-R65)/Parameters!$B$10,0)*Parameters!$B$10</f>
        <v>48.59</v>
      </c>
    </row>
    <row r="66" spans="1:19" x14ac:dyDescent="0.35">
      <c r="A66" s="8" t="s">
        <v>174</v>
      </c>
      <c r="B66" s="8" t="s">
        <v>99</v>
      </c>
      <c r="C66" s="9">
        <v>6.5</v>
      </c>
      <c r="D66" s="10">
        <v>-130</v>
      </c>
      <c r="E66" s="10">
        <v>100</v>
      </c>
      <c r="F66" s="11">
        <f t="shared" ref="F66:F97" si="8">IF(D66&gt;0,100/(D66+100),-D66/(-D66+100))</f>
        <v>0.56521739130434778</v>
      </c>
      <c r="G66" s="11">
        <f t="shared" ref="G66:G97" si="9">IF(E66&gt;0,100/(E66+100),-E66/(-E66+100))</f>
        <v>0.5</v>
      </c>
      <c r="H66" s="11">
        <f t="shared" ref="H66:H97" si="10">F66/(F66+G66)</f>
        <v>0.53061224489795922</v>
      </c>
      <c r="I66" s="12">
        <f>C66+Parameters!$B$6*NORMSINV(H66)</f>
        <v>6.6689797466926981</v>
      </c>
      <c r="J66" s="10">
        <v>44</v>
      </c>
      <c r="K66" s="9">
        <v>48.63</v>
      </c>
      <c r="L66" s="13">
        <v>0.49519999999999997</v>
      </c>
      <c r="M66" s="10">
        <v>1</v>
      </c>
      <c r="N66" s="14">
        <f>Parameters!$B$2*I66</f>
        <v>33.344898733463488</v>
      </c>
      <c r="O66" s="14">
        <f>Parameters!$B$4*((Parameters!$B$9-M66)*L66+M66)</f>
        <v>16.117999999999999</v>
      </c>
      <c r="P66" s="14">
        <f t="shared" ref="P66:P97" si="11">N66+O66</f>
        <v>49.46289873346349</v>
      </c>
      <c r="Q66" s="11">
        <f>(O66-Parameters!$B$4*M66)/P66</f>
        <v>0.27531746720672712</v>
      </c>
      <c r="R66" s="15">
        <f>IF(Parameters!$B$4*M66/P66&gt;Parameters!$B$18,0,Parameters!$B$16+(Parameters!$B$17-Parameters!$B$16)*(Q66-MIN(Q$2:Q$139))/(MAX(Q$2:Q$139)-MIN(Q$2:Q$139)))</f>
        <v>2.2845927568034177E-2</v>
      </c>
      <c r="S66" s="16">
        <f>ROUND(P66*(1-R66)/Parameters!$B$10,0)*Parameters!$B$10</f>
        <v>48.33</v>
      </c>
    </row>
    <row r="67" spans="1:19" x14ac:dyDescent="0.35">
      <c r="A67" s="8" t="s">
        <v>175</v>
      </c>
      <c r="B67" s="8" t="s">
        <v>109</v>
      </c>
      <c r="C67" s="9">
        <v>6.5</v>
      </c>
      <c r="D67" s="10">
        <v>-135</v>
      </c>
      <c r="E67" s="10">
        <v>105</v>
      </c>
      <c r="F67" s="11">
        <f t="shared" si="8"/>
        <v>0.57446808510638303</v>
      </c>
      <c r="G67" s="11">
        <f t="shared" si="9"/>
        <v>0.48780487804878048</v>
      </c>
      <c r="H67" s="11">
        <f t="shared" si="10"/>
        <v>0.54079140205178311</v>
      </c>
      <c r="I67" s="12">
        <f>C67+Parameters!$B$6*NORMSINV(H67)</f>
        <v>6.7253409454810624</v>
      </c>
      <c r="J67" s="10">
        <v>55</v>
      </c>
      <c r="K67" s="9">
        <v>55.42</v>
      </c>
      <c r="L67" s="13">
        <v>0.47649999999999998</v>
      </c>
      <c r="M67" s="10">
        <v>1</v>
      </c>
      <c r="N67" s="14">
        <f>Parameters!$B$2*I67</f>
        <v>33.626704727405311</v>
      </c>
      <c r="O67" s="14">
        <f>Parameters!$B$4*((Parameters!$B$9-M67)*L67+M67)</f>
        <v>15.603749999999998</v>
      </c>
      <c r="P67" s="14">
        <f t="shared" si="11"/>
        <v>49.230454727405309</v>
      </c>
      <c r="Q67" s="11">
        <f>(O67-Parameters!$B$4*M67)/P67</f>
        <v>0.26617162227237123</v>
      </c>
      <c r="R67" s="15">
        <f>IF(Parameters!$B$4*M67/P67&gt;Parameters!$B$18,0,Parameters!$B$16+(Parameters!$B$17-Parameters!$B$16)*(Q67-MIN(Q$2:Q$139))/(MAX(Q$2:Q$139)-MIN(Q$2:Q$139)))</f>
        <v>2.2352543721749725E-2</v>
      </c>
      <c r="S67" s="16">
        <f>ROUND(P67*(1-R67)/Parameters!$B$10,0)*Parameters!$B$10</f>
        <v>48.13</v>
      </c>
    </row>
    <row r="68" spans="1:19" x14ac:dyDescent="0.35">
      <c r="A68" s="8" t="s">
        <v>176</v>
      </c>
      <c r="B68" s="8" t="s">
        <v>103</v>
      </c>
      <c r="C68" s="9">
        <v>6.5</v>
      </c>
      <c r="D68" s="10">
        <v>-105</v>
      </c>
      <c r="E68" s="10">
        <v>-120</v>
      </c>
      <c r="F68" s="11">
        <f t="shared" si="8"/>
        <v>0.51219512195121952</v>
      </c>
      <c r="G68" s="11">
        <f t="shared" si="9"/>
        <v>0.54545454545454541</v>
      </c>
      <c r="H68" s="11">
        <f t="shared" si="10"/>
        <v>0.48427672955974843</v>
      </c>
      <c r="I68" s="12">
        <f>C68+Parameters!$B$6*NORMSINV(H68)</f>
        <v>6.4132702728278108</v>
      </c>
      <c r="J68" s="10">
        <v>42</v>
      </c>
      <c r="K68" s="9">
        <v>46.58</v>
      </c>
      <c r="L68" s="13">
        <v>0.495</v>
      </c>
      <c r="M68" s="10">
        <v>1</v>
      </c>
      <c r="N68" s="14">
        <f>Parameters!$B$2*I68</f>
        <v>32.066351364139052</v>
      </c>
      <c r="O68" s="14">
        <f>Parameters!$B$4*((Parameters!$B$9-M68)*L68+M68)</f>
        <v>16.112500000000001</v>
      </c>
      <c r="P68" s="14">
        <f t="shared" si="11"/>
        <v>48.178851364139049</v>
      </c>
      <c r="Q68" s="11">
        <f>(O68-Parameters!$B$4*M68)/P68</f>
        <v>0.28254098249698389</v>
      </c>
      <c r="R68" s="15">
        <f>IF(Parameters!$B$4*M68/P68&gt;Parameters!$B$18,0,Parameters!$B$16+(Parameters!$B$17-Parameters!$B$16)*(Q68-MIN(Q$2:Q$139))/(MAX(Q$2:Q$139)-MIN(Q$2:Q$139)))</f>
        <v>2.323560897890236E-2</v>
      </c>
      <c r="S68" s="16">
        <f>ROUND(P68*(1-R68)/Parameters!$B$10,0)*Parameters!$B$10</f>
        <v>47.06</v>
      </c>
    </row>
    <row r="69" spans="1:19" x14ac:dyDescent="0.35">
      <c r="A69" s="8" t="s">
        <v>177</v>
      </c>
      <c r="B69" s="8" t="s">
        <v>107</v>
      </c>
      <c r="C69" s="9">
        <v>6.5</v>
      </c>
      <c r="D69" s="10">
        <v>120</v>
      </c>
      <c r="E69" s="10">
        <v>-155</v>
      </c>
      <c r="F69" s="11">
        <f t="shared" si="8"/>
        <v>0.45454545454545453</v>
      </c>
      <c r="G69" s="11">
        <f t="shared" si="9"/>
        <v>0.60784313725490191</v>
      </c>
      <c r="H69" s="11">
        <f t="shared" si="10"/>
        <v>0.42785234899328861</v>
      </c>
      <c r="I69" s="12">
        <f>C69+Parameters!$B$6*NORMSINV(H69)</f>
        <v>6.0999419241011852</v>
      </c>
      <c r="J69" s="10">
        <v>74</v>
      </c>
      <c r="K69" s="9">
        <v>64.73</v>
      </c>
      <c r="L69" s="13">
        <v>0.54149999999999998</v>
      </c>
      <c r="M69" s="10">
        <v>1</v>
      </c>
      <c r="N69" s="14">
        <f>Parameters!$B$2*I69</f>
        <v>30.499709620505925</v>
      </c>
      <c r="O69" s="14">
        <f>Parameters!$B$4*((Parameters!$B$9-M69)*L69+M69)</f>
        <v>17.391249999999999</v>
      </c>
      <c r="P69" s="14">
        <f t="shared" si="11"/>
        <v>47.890959620505924</v>
      </c>
      <c r="Q69" s="11">
        <f>(O69-Parameters!$B$4*M69)/P69</f>
        <v>0.31094073115260512</v>
      </c>
      <c r="R69" s="15">
        <f>IF(Parameters!$B$4*M69/P69&gt;Parameters!$B$18,0,Parameters!$B$16+(Parameters!$B$17-Parameters!$B$16)*(Q69-MIN(Q$2:Q$139))/(MAX(Q$2:Q$139)-MIN(Q$2:Q$139)))</f>
        <v>2.4767668326703764E-2</v>
      </c>
      <c r="S69" s="16">
        <f>ROUND(P69*(1-R69)/Parameters!$B$10,0)*Parameters!$B$10</f>
        <v>46.7</v>
      </c>
    </row>
    <row r="70" spans="1:19" x14ac:dyDescent="0.35">
      <c r="A70" s="8" t="s">
        <v>178</v>
      </c>
      <c r="B70" s="8" t="s">
        <v>143</v>
      </c>
      <c r="C70" s="9">
        <v>6.5</v>
      </c>
      <c r="D70" s="10">
        <v>110</v>
      </c>
      <c r="E70" s="10">
        <v>-140</v>
      </c>
      <c r="F70" s="11">
        <f t="shared" si="8"/>
        <v>0.47619047619047616</v>
      </c>
      <c r="G70" s="11">
        <f t="shared" si="9"/>
        <v>0.58333333333333337</v>
      </c>
      <c r="H70" s="11">
        <f t="shared" si="10"/>
        <v>0.449438202247191</v>
      </c>
      <c r="I70" s="12">
        <f>C70+Parameters!$B$6*NORMSINV(H70)</f>
        <v>6.2204221201109373</v>
      </c>
      <c r="J70" s="10">
        <v>22</v>
      </c>
      <c r="K70" s="9">
        <v>33.93</v>
      </c>
      <c r="L70" s="13">
        <v>0.51780000000000004</v>
      </c>
      <c r="M70" s="10">
        <v>1</v>
      </c>
      <c r="N70" s="14">
        <f>Parameters!$B$2*I70</f>
        <v>31.102110600554688</v>
      </c>
      <c r="O70" s="14">
        <f>Parameters!$B$4*((Parameters!$B$9-M70)*L70+M70)</f>
        <v>16.7395</v>
      </c>
      <c r="P70" s="14">
        <f t="shared" si="11"/>
        <v>47.841610600554688</v>
      </c>
      <c r="Q70" s="11">
        <f>(O70-Parameters!$B$4*M70)/P70</f>
        <v>0.29763839095824468</v>
      </c>
      <c r="R70" s="15">
        <f>IF(Parameters!$B$4*M70/P70&gt;Parameters!$B$18,0,Parameters!$B$16+(Parameters!$B$17-Parameters!$B$16)*(Q70-MIN(Q$2:Q$139))/(MAX(Q$2:Q$139)-MIN(Q$2:Q$139)))</f>
        <v>2.405005723480523E-2</v>
      </c>
      <c r="S70" s="16">
        <f>ROUND(P70*(1-R70)/Parameters!$B$10,0)*Parameters!$B$10</f>
        <v>46.69</v>
      </c>
    </row>
    <row r="71" spans="1:19" x14ac:dyDescent="0.35">
      <c r="A71" s="8" t="s">
        <v>179</v>
      </c>
      <c r="B71" s="8" t="s">
        <v>103</v>
      </c>
      <c r="C71" s="9">
        <v>6.5</v>
      </c>
      <c r="D71" s="10">
        <v>150</v>
      </c>
      <c r="E71" s="10">
        <v>-200</v>
      </c>
      <c r="F71" s="11">
        <f t="shared" si="8"/>
        <v>0.4</v>
      </c>
      <c r="G71" s="11">
        <f t="shared" si="9"/>
        <v>0.66666666666666663</v>
      </c>
      <c r="H71" s="11">
        <f t="shared" si="10"/>
        <v>0.375</v>
      </c>
      <c r="I71" s="12">
        <f>C71+Parameters!$B$6*NORMSINV(H71)</f>
        <v>5.7989933992783742</v>
      </c>
      <c r="J71" s="10">
        <v>75</v>
      </c>
      <c r="K71" s="9">
        <v>64.33</v>
      </c>
      <c r="L71" s="13">
        <v>0.57769999999999999</v>
      </c>
      <c r="M71" s="10">
        <v>1</v>
      </c>
      <c r="N71" s="14">
        <f>Parameters!$B$2*I71</f>
        <v>28.99496699639187</v>
      </c>
      <c r="O71" s="14">
        <f>Parameters!$B$4*((Parameters!$B$9-M71)*L71+M71)</f>
        <v>18.386749999999999</v>
      </c>
      <c r="P71" s="14">
        <f t="shared" si="11"/>
        <v>47.381716996391873</v>
      </c>
      <c r="Q71" s="11">
        <f>(O71-Parameters!$B$4*M71)/P71</f>
        <v>0.33529283038032959</v>
      </c>
      <c r="R71" s="15">
        <f>IF(Parameters!$B$4*M71/P71&gt;Parameters!$B$18,0,Parameters!$B$16+(Parameters!$B$17-Parameters!$B$16)*(Q71-MIN(Q$2:Q$139))/(MAX(Q$2:Q$139)-MIN(Q$2:Q$139)))</f>
        <v>2.6081372251088253E-2</v>
      </c>
      <c r="S71" s="16">
        <f>ROUND(P71*(1-R71)/Parameters!$B$10,0)*Parameters!$B$10</f>
        <v>46.15</v>
      </c>
    </row>
    <row r="72" spans="1:19" x14ac:dyDescent="0.35">
      <c r="A72" s="8" t="s">
        <v>180</v>
      </c>
      <c r="B72" s="8" t="s">
        <v>107</v>
      </c>
      <c r="C72" s="9">
        <v>6.5</v>
      </c>
      <c r="D72" s="10">
        <v>-110</v>
      </c>
      <c r="E72" s="10">
        <v>-115</v>
      </c>
      <c r="F72" s="11">
        <f t="shared" si="8"/>
        <v>0.52380952380952384</v>
      </c>
      <c r="G72" s="11">
        <f t="shared" si="9"/>
        <v>0.53488372093023251</v>
      </c>
      <c r="H72" s="11">
        <f t="shared" si="10"/>
        <v>0.4947698744769875</v>
      </c>
      <c r="I72" s="12">
        <f>C72+Parameters!$B$6*NORMSINV(H72)</f>
        <v>6.4711572166299209</v>
      </c>
      <c r="J72" s="10">
        <v>54</v>
      </c>
      <c r="K72" s="9">
        <v>53.97</v>
      </c>
      <c r="L72" s="13">
        <v>0.49399999999999999</v>
      </c>
      <c r="M72" s="10">
        <v>0</v>
      </c>
      <c r="N72" s="14">
        <f>Parameters!$B$2*I72</f>
        <v>32.355786083149603</v>
      </c>
      <c r="O72" s="14">
        <f>Parameters!$B$4*((Parameters!$B$9-M72)*L72+M72)</f>
        <v>14.82</v>
      </c>
      <c r="P72" s="14">
        <f t="shared" si="11"/>
        <v>47.175786083149603</v>
      </c>
      <c r="Q72" s="11">
        <f>(O72-Parameters!$B$4*M72)/P72</f>
        <v>0.31414420893547029</v>
      </c>
      <c r="R72" s="15">
        <f>IF(Parameters!$B$4*M72/P72&gt;Parameters!$B$18,0,Parameters!$B$16+(Parameters!$B$17-Parameters!$B$16)*(Q72-MIN(Q$2:Q$139))/(MAX(Q$2:Q$139)-MIN(Q$2:Q$139)))</f>
        <v>2.4940483873144924E-2</v>
      </c>
      <c r="S72" s="16">
        <f>ROUND(P72*(1-R72)/Parameters!$B$10,0)*Parameters!$B$10</f>
        <v>46</v>
      </c>
    </row>
    <row r="73" spans="1:19" x14ac:dyDescent="0.35">
      <c r="A73" s="8" t="s">
        <v>181</v>
      </c>
      <c r="B73" s="8" t="s">
        <v>117</v>
      </c>
      <c r="C73" s="9">
        <v>5.5</v>
      </c>
      <c r="D73" s="10">
        <v>-165</v>
      </c>
      <c r="E73" s="10">
        <v>130</v>
      </c>
      <c r="F73" s="11">
        <f t="shared" si="8"/>
        <v>0.62264150943396224</v>
      </c>
      <c r="G73" s="11">
        <f t="shared" si="9"/>
        <v>0.43478260869565216</v>
      </c>
      <c r="H73" s="11">
        <f t="shared" si="10"/>
        <v>0.58882854926299455</v>
      </c>
      <c r="I73" s="12">
        <f>C73+Parameters!$B$6*NORMSINV(H73)</f>
        <v>5.9939717250562676</v>
      </c>
      <c r="J73" s="10">
        <v>30</v>
      </c>
      <c r="K73" s="9">
        <v>37.979999999999997</v>
      </c>
      <c r="L73" s="13">
        <v>0.52490000000000003</v>
      </c>
      <c r="M73" s="10">
        <v>1</v>
      </c>
      <c r="N73" s="14">
        <f>Parameters!$B$2*I73</f>
        <v>29.96985862528134</v>
      </c>
      <c r="O73" s="14">
        <f>Parameters!$B$4*((Parameters!$B$9-M73)*L73+M73)</f>
        <v>16.934750000000001</v>
      </c>
      <c r="P73" s="14">
        <f t="shared" si="11"/>
        <v>46.904608625281341</v>
      </c>
      <c r="Q73" s="11">
        <f>(O73-Parameters!$B$4*M73)/P73</f>
        <v>0.30774694476865855</v>
      </c>
      <c r="R73" s="15">
        <f>IF(Parameters!$B$4*M73/P73&gt;Parameters!$B$18,0,Parameters!$B$16+(Parameters!$B$17-Parameters!$B$16)*(Q73-MIN(Q$2:Q$139))/(MAX(Q$2:Q$139)-MIN(Q$2:Q$139)))</f>
        <v>2.459537559468912E-2</v>
      </c>
      <c r="S73" s="16">
        <f>ROUND(P73*(1-R73)/Parameters!$B$10,0)*Parameters!$B$10</f>
        <v>45.75</v>
      </c>
    </row>
    <row r="74" spans="1:19" x14ac:dyDescent="0.35">
      <c r="A74" s="8" t="s">
        <v>182</v>
      </c>
      <c r="B74" s="8" t="s">
        <v>109</v>
      </c>
      <c r="C74" s="9">
        <v>6.5</v>
      </c>
      <c r="D74" s="10">
        <v>115</v>
      </c>
      <c r="E74" s="10">
        <v>-145</v>
      </c>
      <c r="F74" s="11">
        <f t="shared" si="8"/>
        <v>0.46511627906976744</v>
      </c>
      <c r="G74" s="11">
        <f t="shared" si="9"/>
        <v>0.59183673469387754</v>
      </c>
      <c r="H74" s="11">
        <f t="shared" si="10"/>
        <v>0.44005388414907948</v>
      </c>
      <c r="I74" s="12">
        <f>C74+Parameters!$B$6*NORMSINV(H74)</f>
        <v>6.1681682770075357</v>
      </c>
      <c r="J74" s="10">
        <v>63</v>
      </c>
      <c r="K74" s="9">
        <v>58.36</v>
      </c>
      <c r="L74" s="13">
        <v>0.4899</v>
      </c>
      <c r="M74" s="10">
        <v>1</v>
      </c>
      <c r="N74" s="14">
        <f>Parameters!$B$2*I74</f>
        <v>30.840841385037677</v>
      </c>
      <c r="O74" s="14">
        <f>Parameters!$B$4*((Parameters!$B$9-M74)*L74+M74)</f>
        <v>15.972249999999999</v>
      </c>
      <c r="P74" s="14">
        <f t="shared" si="11"/>
        <v>46.81309138503768</v>
      </c>
      <c r="Q74" s="11">
        <f>(O74-Parameters!$B$4*M74)/P74</f>
        <v>0.28778808665274297</v>
      </c>
      <c r="R74" s="15">
        <f>IF(Parameters!$B$4*M74/P74&gt;Parameters!$B$18,0,Parameters!$B$16+(Parameters!$B$17-Parameters!$B$16)*(Q74-MIN(Q$2:Q$139))/(MAX(Q$2:Q$139)-MIN(Q$2:Q$139)))</f>
        <v>2.3518670461882323E-2</v>
      </c>
      <c r="S74" s="16">
        <f>ROUND(P74*(1-R74)/Parameters!$B$10,0)*Parameters!$B$10</f>
        <v>45.71</v>
      </c>
    </row>
    <row r="75" spans="1:19" x14ac:dyDescent="0.35">
      <c r="A75" s="8" t="s">
        <v>183</v>
      </c>
      <c r="B75" s="8" t="s">
        <v>99</v>
      </c>
      <c r="C75" s="9">
        <v>5.5</v>
      </c>
      <c r="D75" s="10">
        <v>-175</v>
      </c>
      <c r="E75" s="10">
        <v>135</v>
      </c>
      <c r="F75" s="11">
        <f t="shared" si="8"/>
        <v>0.63636363636363635</v>
      </c>
      <c r="G75" s="11">
        <f t="shared" si="9"/>
        <v>0.42553191489361702</v>
      </c>
      <c r="H75" s="11">
        <f t="shared" si="10"/>
        <v>0.59927140255009104</v>
      </c>
      <c r="I75" s="12">
        <f>C75+Parameters!$B$6*NORMSINV(H75)</f>
        <v>6.0532156690655388</v>
      </c>
      <c r="J75" s="10">
        <v>52</v>
      </c>
      <c r="K75" s="9">
        <v>51.38</v>
      </c>
      <c r="L75" s="13">
        <v>0.50949999999999995</v>
      </c>
      <c r="M75" s="10">
        <v>1</v>
      </c>
      <c r="N75" s="14">
        <f>Parameters!$B$2*I75</f>
        <v>30.266078345327692</v>
      </c>
      <c r="O75" s="14">
        <f>Parameters!$B$4*((Parameters!$B$9-M75)*L75+M75)</f>
        <v>16.51125</v>
      </c>
      <c r="P75" s="14">
        <f t="shared" si="11"/>
        <v>46.777328345327689</v>
      </c>
      <c r="Q75" s="11">
        <f>(O75-Parameters!$B$4*M75)/P75</f>
        <v>0.29953078757648843</v>
      </c>
      <c r="R75" s="15">
        <f>IF(Parameters!$B$4*M75/P75&gt;Parameters!$B$18,0,Parameters!$B$16+(Parameters!$B$17-Parameters!$B$16)*(Q75-MIN(Q$2:Q$139))/(MAX(Q$2:Q$139)-MIN(Q$2:Q$139)))</f>
        <v>2.4152144896350584E-2</v>
      </c>
      <c r="S75" s="16">
        <f>ROUND(P75*(1-R75)/Parameters!$B$10,0)*Parameters!$B$10</f>
        <v>45.65</v>
      </c>
    </row>
    <row r="76" spans="1:19" x14ac:dyDescent="0.35">
      <c r="A76" s="8" t="s">
        <v>184</v>
      </c>
      <c r="B76" s="8" t="s">
        <v>117</v>
      </c>
      <c r="C76" s="9">
        <v>5.5</v>
      </c>
      <c r="D76" s="10">
        <v>-200</v>
      </c>
      <c r="E76" s="10">
        <v>155</v>
      </c>
      <c r="F76" s="11">
        <f t="shared" si="8"/>
        <v>0.66666666666666663</v>
      </c>
      <c r="G76" s="11">
        <f t="shared" si="9"/>
        <v>0.39215686274509803</v>
      </c>
      <c r="H76" s="11">
        <f t="shared" si="10"/>
        <v>0.62962962962962954</v>
      </c>
      <c r="I76" s="12">
        <f>C76+Parameters!$B$6*NORMSINV(H76)</f>
        <v>6.2279196577981217</v>
      </c>
      <c r="J76" s="10">
        <v>18</v>
      </c>
      <c r="K76" s="9">
        <v>31.56</v>
      </c>
      <c r="L76" s="13">
        <v>0.4768</v>
      </c>
      <c r="M76" s="10">
        <v>1</v>
      </c>
      <c r="N76" s="14">
        <f>Parameters!$B$2*I76</f>
        <v>31.139598288990609</v>
      </c>
      <c r="O76" s="14">
        <f>Parameters!$B$4*((Parameters!$B$9-M76)*L76+M76)</f>
        <v>15.611999999999998</v>
      </c>
      <c r="P76" s="14">
        <f t="shared" si="11"/>
        <v>46.751598288990607</v>
      </c>
      <c r="Q76" s="11">
        <f>(O76-Parameters!$B$4*M76)/P76</f>
        <v>0.28046099983468809</v>
      </c>
      <c r="R76" s="15">
        <f>IF(Parameters!$B$4*M76/P76&gt;Parameters!$B$18,0,Parameters!$B$16+(Parameters!$B$17-Parameters!$B$16)*(Q76-MIN(Q$2:Q$139))/(MAX(Q$2:Q$139)-MIN(Q$2:Q$139)))</f>
        <v>2.3123401757645691E-2</v>
      </c>
      <c r="S76" s="16">
        <f>ROUND(P76*(1-R76)/Parameters!$B$10,0)*Parameters!$B$10</f>
        <v>45.67</v>
      </c>
    </row>
    <row r="77" spans="1:19" x14ac:dyDescent="0.35">
      <c r="A77" s="8" t="s">
        <v>185</v>
      </c>
      <c r="B77" s="8" t="s">
        <v>99</v>
      </c>
      <c r="C77" s="9">
        <v>6.5</v>
      </c>
      <c r="D77" s="10">
        <v>125</v>
      </c>
      <c r="E77" s="10">
        <v>-160</v>
      </c>
      <c r="F77" s="11">
        <f t="shared" si="8"/>
        <v>0.44444444444444442</v>
      </c>
      <c r="G77" s="11">
        <f t="shared" si="9"/>
        <v>0.61538461538461542</v>
      </c>
      <c r="H77" s="11">
        <f t="shared" si="10"/>
        <v>0.41935483870967738</v>
      </c>
      <c r="I77" s="12">
        <f>C77+Parameters!$B$6*NORMSINV(H77)</f>
        <v>6.0522026906285298</v>
      </c>
      <c r="J77" s="10">
        <v>50</v>
      </c>
      <c r="K77" s="9">
        <v>50.17</v>
      </c>
      <c r="L77" s="13">
        <v>0.50329999999999997</v>
      </c>
      <c r="M77" s="10">
        <v>1</v>
      </c>
      <c r="N77" s="14">
        <f>Parameters!$B$2*I77</f>
        <v>30.261013453142649</v>
      </c>
      <c r="O77" s="14">
        <f>Parameters!$B$4*((Parameters!$B$9-M77)*L77+M77)</f>
        <v>16.34075</v>
      </c>
      <c r="P77" s="14">
        <f t="shared" si="11"/>
        <v>46.601763453142652</v>
      </c>
      <c r="Q77" s="11">
        <f>(O77-Parameters!$B$4*M77)/P77</f>
        <v>0.29700056337817898</v>
      </c>
      <c r="R77" s="15">
        <f>IF(Parameters!$B$4*M77/P77&gt;Parameters!$B$18,0,Parameters!$B$16+(Parameters!$B$17-Parameters!$B$16)*(Q77-MIN(Q$2:Q$139))/(MAX(Q$2:Q$139)-MIN(Q$2:Q$139)))</f>
        <v>2.4015648842034762E-2</v>
      </c>
      <c r="S77" s="16">
        <f>ROUND(P77*(1-R77)/Parameters!$B$10,0)*Parameters!$B$10</f>
        <v>45.480000000000004</v>
      </c>
    </row>
    <row r="78" spans="1:19" x14ac:dyDescent="0.35">
      <c r="A78" s="8" t="s">
        <v>186</v>
      </c>
      <c r="B78" s="8" t="s">
        <v>125</v>
      </c>
      <c r="C78" s="9">
        <v>6.5</v>
      </c>
      <c r="D78" s="10">
        <v>120</v>
      </c>
      <c r="E78" s="10">
        <v>-155</v>
      </c>
      <c r="F78" s="11">
        <f t="shared" si="8"/>
        <v>0.45454545454545453</v>
      </c>
      <c r="G78" s="11">
        <f t="shared" si="9"/>
        <v>0.60784313725490191</v>
      </c>
      <c r="H78" s="11">
        <f t="shared" si="10"/>
        <v>0.42785234899328861</v>
      </c>
      <c r="I78" s="12">
        <f>C78+Parameters!$B$6*NORMSINV(H78)</f>
        <v>6.0999419241011852</v>
      </c>
      <c r="J78" s="10">
        <v>18</v>
      </c>
      <c r="K78" s="9">
        <v>31.13</v>
      </c>
      <c r="L78" s="13">
        <v>0.49320000000000003</v>
      </c>
      <c r="M78" s="10">
        <v>1</v>
      </c>
      <c r="N78" s="14">
        <f>Parameters!$B$2*I78</f>
        <v>30.499709620505925</v>
      </c>
      <c r="O78" s="14">
        <f>Parameters!$B$4*((Parameters!$B$9-M78)*L78+M78)</f>
        <v>16.063000000000002</v>
      </c>
      <c r="P78" s="14">
        <f t="shared" si="11"/>
        <v>46.562709620505927</v>
      </c>
      <c r="Q78" s="11">
        <f>(O78-Parameters!$B$4*M78)/P78</f>
        <v>0.2912845947012272</v>
      </c>
      <c r="R78" s="15">
        <f>IF(Parameters!$B$4*M78/P78&gt;Parameters!$B$18,0,Parameters!$B$16+(Parameters!$B$17-Parameters!$B$16)*(Q78-MIN(Q$2:Q$139))/(MAX(Q$2:Q$139)-MIN(Q$2:Q$139)))</f>
        <v>2.3707293886170367E-2</v>
      </c>
      <c r="S78" s="16">
        <f>ROUND(P78*(1-R78)/Parameters!$B$10,0)*Parameters!$B$10</f>
        <v>45.46</v>
      </c>
    </row>
    <row r="79" spans="1:19" x14ac:dyDescent="0.35">
      <c r="A79" s="8" t="s">
        <v>187</v>
      </c>
      <c r="B79" s="8" t="s">
        <v>125</v>
      </c>
      <c r="C79" s="9">
        <v>6.5</v>
      </c>
      <c r="D79" s="10">
        <v>120</v>
      </c>
      <c r="E79" s="10">
        <v>-150</v>
      </c>
      <c r="F79" s="11">
        <f t="shared" si="8"/>
        <v>0.45454545454545453</v>
      </c>
      <c r="G79" s="11">
        <f t="shared" si="9"/>
        <v>0.6</v>
      </c>
      <c r="H79" s="11">
        <f t="shared" si="10"/>
        <v>0.43103448275862072</v>
      </c>
      <c r="I79" s="12">
        <f>C79+Parameters!$B$6*NORMSINV(H79)</f>
        <v>6.1177696637940997</v>
      </c>
      <c r="J79" s="10">
        <v>16</v>
      </c>
      <c r="K79" s="9">
        <v>29.99</v>
      </c>
      <c r="L79" s="13">
        <v>0.4834</v>
      </c>
      <c r="M79" s="10">
        <v>1</v>
      </c>
      <c r="N79" s="14">
        <f>Parameters!$B$2*I79</f>
        <v>30.588848318970498</v>
      </c>
      <c r="O79" s="14">
        <f>Parameters!$B$4*((Parameters!$B$9-M79)*L79+M79)</f>
        <v>15.7935</v>
      </c>
      <c r="P79" s="14">
        <f t="shared" si="11"/>
        <v>46.3823483189705</v>
      </c>
      <c r="Q79" s="11">
        <f>(O79-Parameters!$B$4*M79)/P79</f>
        <v>0.2866068770080562</v>
      </c>
      <c r="R79" s="15">
        <f>IF(Parameters!$B$4*M79/P79&gt;Parameters!$B$18,0,Parameters!$B$16+(Parameters!$B$17-Parameters!$B$16)*(Q79-MIN(Q$2:Q$139))/(MAX(Q$2:Q$139)-MIN(Q$2:Q$139)))</f>
        <v>2.3454948655756501E-2</v>
      </c>
      <c r="S79" s="16">
        <f>ROUND(P79*(1-R79)/Parameters!$B$10,0)*Parameters!$B$10</f>
        <v>45.29</v>
      </c>
    </row>
    <row r="80" spans="1:19" x14ac:dyDescent="0.35">
      <c r="A80" s="8" t="s">
        <v>188</v>
      </c>
      <c r="B80" s="8" t="s">
        <v>103</v>
      </c>
      <c r="C80" s="9">
        <v>6.5</v>
      </c>
      <c r="D80" s="10">
        <v>120</v>
      </c>
      <c r="E80" s="10">
        <v>-155</v>
      </c>
      <c r="F80" s="11">
        <f t="shared" si="8"/>
        <v>0.45454545454545453</v>
      </c>
      <c r="G80" s="11">
        <f t="shared" si="9"/>
        <v>0.60784313725490191</v>
      </c>
      <c r="H80" s="11">
        <f t="shared" si="10"/>
        <v>0.42785234899328861</v>
      </c>
      <c r="I80" s="12">
        <f>C80+Parameters!$B$6*NORMSINV(H80)</f>
        <v>6.0999419241011852</v>
      </c>
      <c r="J80" s="10">
        <v>40</v>
      </c>
      <c r="K80" s="9">
        <v>44.33</v>
      </c>
      <c r="L80" s="13">
        <v>0.48220000000000002</v>
      </c>
      <c r="M80" s="10">
        <v>1</v>
      </c>
      <c r="N80" s="14">
        <f>Parameters!$B$2*I80</f>
        <v>30.499709620505925</v>
      </c>
      <c r="O80" s="14">
        <f>Parameters!$B$4*((Parameters!$B$9-M80)*L80+M80)</f>
        <v>15.7605</v>
      </c>
      <c r="P80" s="14">
        <f t="shared" si="11"/>
        <v>46.260209620505925</v>
      </c>
      <c r="Q80" s="11">
        <f>(O80-Parameters!$B$4*M80)/P80</f>
        <v>0.28665023588915972</v>
      </c>
      <c r="R80" s="15">
        <f>IF(Parameters!$B$4*M80/P80&gt;Parameters!$B$18,0,Parameters!$B$16+(Parameters!$B$17-Parameters!$B$16)*(Q80-MIN(Q$2:Q$139))/(MAX(Q$2:Q$139)-MIN(Q$2:Q$139)))</f>
        <v>2.3457287703890706E-2</v>
      </c>
      <c r="S80" s="16">
        <f>ROUND(P80*(1-R80)/Parameters!$B$10,0)*Parameters!$B$10</f>
        <v>45.18</v>
      </c>
    </row>
    <row r="81" spans="1:19" x14ac:dyDescent="0.35">
      <c r="A81" s="8" t="s">
        <v>189</v>
      </c>
      <c r="B81" s="8" t="s">
        <v>125</v>
      </c>
      <c r="C81" s="9">
        <v>6.5</v>
      </c>
      <c r="D81" s="10">
        <v>130</v>
      </c>
      <c r="E81" s="10">
        <v>-165</v>
      </c>
      <c r="F81" s="11">
        <f t="shared" si="8"/>
        <v>0.43478260869565216</v>
      </c>
      <c r="G81" s="11">
        <f t="shared" si="9"/>
        <v>0.62264150943396224</v>
      </c>
      <c r="H81" s="11">
        <f t="shared" si="10"/>
        <v>0.4111714507370054</v>
      </c>
      <c r="I81" s="12">
        <f>C81+Parameters!$B$6*NORMSINV(H81)</f>
        <v>6.0060282749437315</v>
      </c>
      <c r="J81" s="10">
        <v>18</v>
      </c>
      <c r="K81" s="9">
        <v>30.82</v>
      </c>
      <c r="L81" s="13">
        <v>0.49049999999999999</v>
      </c>
      <c r="M81" s="10">
        <v>1</v>
      </c>
      <c r="N81" s="14">
        <f>Parameters!$B$2*I81</f>
        <v>30.030141374718657</v>
      </c>
      <c r="O81" s="14">
        <f>Parameters!$B$4*((Parameters!$B$9-M81)*L81+M81)</f>
        <v>15.98875</v>
      </c>
      <c r="P81" s="14">
        <f t="shared" si="11"/>
        <v>46.018891374718656</v>
      </c>
      <c r="Q81" s="11">
        <f>(O81-Parameters!$B$4*M81)/P81</f>
        <v>0.29311331927066581</v>
      </c>
      <c r="R81" s="15">
        <f>IF(Parameters!$B$4*M81/P81&gt;Parameters!$B$18,0,Parameters!$B$16+(Parameters!$B$17-Parameters!$B$16)*(Q81-MIN(Q$2:Q$139))/(MAX(Q$2:Q$139)-MIN(Q$2:Q$139)))</f>
        <v>2.3805946680782616E-2</v>
      </c>
      <c r="S81" s="16">
        <f>ROUND(P81*(1-R81)/Parameters!$B$10,0)*Parameters!$B$10</f>
        <v>44.92</v>
      </c>
    </row>
    <row r="82" spans="1:19" x14ac:dyDescent="0.35">
      <c r="A82" s="8" t="s">
        <v>190</v>
      </c>
      <c r="B82" s="8" t="s">
        <v>107</v>
      </c>
      <c r="C82" s="9">
        <v>6.5</v>
      </c>
      <c r="D82" s="10">
        <v>115</v>
      </c>
      <c r="E82" s="10">
        <v>-145</v>
      </c>
      <c r="F82" s="11">
        <f t="shared" si="8"/>
        <v>0.46511627906976744</v>
      </c>
      <c r="G82" s="11">
        <f t="shared" si="9"/>
        <v>0.59183673469387754</v>
      </c>
      <c r="H82" s="11">
        <f t="shared" si="10"/>
        <v>0.44005388414907948</v>
      </c>
      <c r="I82" s="12">
        <f>C82+Parameters!$B$6*NORMSINV(H82)</f>
        <v>6.1681682770075357</v>
      </c>
      <c r="J82" s="10">
        <v>44</v>
      </c>
      <c r="K82" s="9">
        <v>46.96</v>
      </c>
      <c r="L82" s="13">
        <v>0.45979999999999999</v>
      </c>
      <c r="M82" s="10">
        <v>1</v>
      </c>
      <c r="N82" s="14">
        <f>Parameters!$B$2*I82</f>
        <v>30.840841385037677</v>
      </c>
      <c r="O82" s="14">
        <f>Parameters!$B$4*((Parameters!$B$9-M82)*L82+M82)</f>
        <v>15.144500000000001</v>
      </c>
      <c r="P82" s="14">
        <f t="shared" si="11"/>
        <v>45.985341385037678</v>
      </c>
      <c r="Q82" s="11">
        <f>(O82-Parameters!$B$4*M82)/P82</f>
        <v>0.27496805762790666</v>
      </c>
      <c r="R82" s="15">
        <f>IF(Parameters!$B$4*M82/P82&gt;Parameters!$B$18,0,Parameters!$B$16+(Parameters!$B$17-Parameters!$B$16)*(Q82-MIN(Q$2:Q$139))/(MAX(Q$2:Q$139)-MIN(Q$2:Q$139)))</f>
        <v>2.2827078238839948E-2</v>
      </c>
      <c r="S82" s="16">
        <f>ROUND(P82*(1-R82)/Parameters!$B$10,0)*Parameters!$B$10</f>
        <v>44.94</v>
      </c>
    </row>
    <row r="83" spans="1:19" x14ac:dyDescent="0.35">
      <c r="A83" s="8" t="s">
        <v>191</v>
      </c>
      <c r="B83" s="8" t="s">
        <v>143</v>
      </c>
      <c r="C83" s="9">
        <v>6.5</v>
      </c>
      <c r="D83" s="10">
        <v>135</v>
      </c>
      <c r="E83" s="10">
        <v>-175</v>
      </c>
      <c r="F83" s="11">
        <f t="shared" si="8"/>
        <v>0.42553191489361702</v>
      </c>
      <c r="G83" s="11">
        <f t="shared" si="9"/>
        <v>0.63636363636363635</v>
      </c>
      <c r="H83" s="11">
        <f t="shared" si="10"/>
        <v>0.40072859744990891</v>
      </c>
      <c r="I83" s="12">
        <f>C83+Parameters!$B$6*NORMSINV(H83)</f>
        <v>5.9467843309344603</v>
      </c>
      <c r="J83" s="10">
        <v>18</v>
      </c>
      <c r="K83" s="9">
        <v>30.62</v>
      </c>
      <c r="L83" s="13">
        <v>0.49109999999999998</v>
      </c>
      <c r="M83" s="10">
        <v>1</v>
      </c>
      <c r="N83" s="14">
        <f>Parameters!$B$2*I83</f>
        <v>29.733921654672301</v>
      </c>
      <c r="O83" s="14">
        <f>Parameters!$B$4*((Parameters!$B$9-M83)*L83+M83)</f>
        <v>16.00525</v>
      </c>
      <c r="P83" s="14">
        <f t="shared" si="11"/>
        <v>45.739171654672305</v>
      </c>
      <c r="Q83" s="11">
        <f>(O83-Parameters!$B$4*M83)/P83</f>
        <v>0.29526660653069403</v>
      </c>
      <c r="R83" s="15">
        <f>IF(Parameters!$B$4*M83/P83&gt;Parameters!$B$18,0,Parameters!$B$16+(Parameters!$B$17-Parameters!$B$16)*(Q83-MIN(Q$2:Q$139))/(MAX(Q$2:Q$139)-MIN(Q$2:Q$139)))</f>
        <v>2.3922108408663788E-2</v>
      </c>
      <c r="S83" s="16">
        <f>ROUND(P83*(1-R83)/Parameters!$B$10,0)*Parameters!$B$10</f>
        <v>44.64</v>
      </c>
    </row>
    <row r="84" spans="1:19" x14ac:dyDescent="0.35">
      <c r="A84" s="8" t="s">
        <v>192</v>
      </c>
      <c r="B84" s="8" t="s">
        <v>125</v>
      </c>
      <c r="C84" s="9">
        <v>5.5</v>
      </c>
      <c r="D84" s="10">
        <v>-160</v>
      </c>
      <c r="E84" s="10">
        <v>125</v>
      </c>
      <c r="F84" s="11">
        <f t="shared" si="8"/>
        <v>0.61538461538461542</v>
      </c>
      <c r="G84" s="11">
        <f t="shared" si="9"/>
        <v>0.44444444444444442</v>
      </c>
      <c r="H84" s="11">
        <f t="shared" si="10"/>
        <v>0.58064516129032262</v>
      </c>
      <c r="I84" s="12">
        <f>C84+Parameters!$B$6*NORMSINV(H84)</f>
        <v>5.9477973093714702</v>
      </c>
      <c r="J84" s="10">
        <v>18</v>
      </c>
      <c r="K84" s="9">
        <v>30.63</v>
      </c>
      <c r="L84" s="13">
        <v>0.48880000000000001</v>
      </c>
      <c r="M84" s="10">
        <v>1</v>
      </c>
      <c r="N84" s="14">
        <f>Parameters!$B$2*I84</f>
        <v>29.738986546857351</v>
      </c>
      <c r="O84" s="14">
        <f>Parameters!$B$4*((Parameters!$B$9-M84)*L84+M84)</f>
        <v>15.942</v>
      </c>
      <c r="P84" s="14">
        <f t="shared" si="11"/>
        <v>45.680986546857355</v>
      </c>
      <c r="Q84" s="11">
        <f>(O84-Parameters!$B$4*M84)/P84</f>
        <v>0.29425809327063995</v>
      </c>
      <c r="R84" s="15">
        <f>IF(Parameters!$B$4*M84/P84&gt;Parameters!$B$18,0,Parameters!$B$16+(Parameters!$B$17-Parameters!$B$16)*(Q84-MIN(Q$2:Q$139))/(MAX(Q$2:Q$139)-MIN(Q$2:Q$139)))</f>
        <v>2.3867702921270797E-2</v>
      </c>
      <c r="S84" s="16">
        <f>ROUND(P84*(1-R84)/Parameters!$B$10,0)*Parameters!$B$10</f>
        <v>44.59</v>
      </c>
    </row>
    <row r="85" spans="1:19" x14ac:dyDescent="0.35">
      <c r="A85" s="8" t="s">
        <v>193</v>
      </c>
      <c r="B85" s="8" t="s">
        <v>99</v>
      </c>
      <c r="C85" s="9">
        <v>5.5</v>
      </c>
      <c r="D85" s="10">
        <v>-160</v>
      </c>
      <c r="E85" s="10">
        <v>125</v>
      </c>
      <c r="F85" s="11">
        <f t="shared" si="8"/>
        <v>0.61538461538461542</v>
      </c>
      <c r="G85" s="11">
        <f t="shared" si="9"/>
        <v>0.44444444444444442</v>
      </c>
      <c r="H85" s="11">
        <f t="shared" si="10"/>
        <v>0.58064516129032262</v>
      </c>
      <c r="I85" s="12">
        <f>C85+Parameters!$B$6*NORMSINV(H85)</f>
        <v>5.9477973093714702</v>
      </c>
      <c r="J85" s="10">
        <v>45</v>
      </c>
      <c r="K85" s="9">
        <v>46.83</v>
      </c>
      <c r="L85" s="13">
        <v>0.48530000000000001</v>
      </c>
      <c r="M85" s="10">
        <v>1</v>
      </c>
      <c r="N85" s="14">
        <f>Parameters!$B$2*I85</f>
        <v>29.738986546857351</v>
      </c>
      <c r="O85" s="14">
        <f>Parameters!$B$4*((Parameters!$B$9-M85)*L85+M85)</f>
        <v>15.845750000000001</v>
      </c>
      <c r="P85" s="14">
        <f t="shared" si="11"/>
        <v>45.58473654685735</v>
      </c>
      <c r="Q85" s="11">
        <f>(O85-Parameters!$B$4*M85)/P85</f>
        <v>0.29276795284934182</v>
      </c>
      <c r="R85" s="15">
        <f>IF(Parameters!$B$4*M85/P85&gt;Parameters!$B$18,0,Parameters!$B$16+(Parameters!$B$17-Parameters!$B$16)*(Q85-MIN(Q$2:Q$139))/(MAX(Q$2:Q$139)-MIN(Q$2:Q$139)))</f>
        <v>2.3787315464689041E-2</v>
      </c>
      <c r="S85" s="16">
        <f>ROUND(P85*(1-R85)/Parameters!$B$10,0)*Parameters!$B$10</f>
        <v>44.5</v>
      </c>
    </row>
    <row r="86" spans="1:19" x14ac:dyDescent="0.35">
      <c r="A86" s="8" t="s">
        <v>194</v>
      </c>
      <c r="B86" s="8" t="s">
        <v>133</v>
      </c>
      <c r="C86" s="9">
        <v>6.5</v>
      </c>
      <c r="D86" s="10">
        <v>130</v>
      </c>
      <c r="E86" s="10">
        <v>-165</v>
      </c>
      <c r="F86" s="11">
        <f t="shared" si="8"/>
        <v>0.43478260869565216</v>
      </c>
      <c r="G86" s="11">
        <f t="shared" si="9"/>
        <v>0.62264150943396224</v>
      </c>
      <c r="H86" s="11">
        <f t="shared" si="10"/>
        <v>0.4111714507370054</v>
      </c>
      <c r="I86" s="12">
        <f>C86+Parameters!$B$6*NORMSINV(H86)</f>
        <v>6.0060282749437315</v>
      </c>
      <c r="J86" s="10">
        <v>24</v>
      </c>
      <c r="K86" s="9">
        <v>34.42</v>
      </c>
      <c r="L86" s="13">
        <v>0.47299999999999998</v>
      </c>
      <c r="M86" s="10">
        <v>1</v>
      </c>
      <c r="N86" s="14">
        <f>Parameters!$B$2*I86</f>
        <v>30.030141374718657</v>
      </c>
      <c r="O86" s="14">
        <f>Parameters!$B$4*((Parameters!$B$9-M86)*L86+M86)</f>
        <v>15.507499999999999</v>
      </c>
      <c r="P86" s="14">
        <f t="shared" si="11"/>
        <v>45.537641374718653</v>
      </c>
      <c r="Q86" s="11">
        <f>(O86-Parameters!$B$4*M86)/P86</f>
        <v>0.28564281344666731</v>
      </c>
      <c r="R86" s="15">
        <f>IF(Parameters!$B$4*M86/P86&gt;Parameters!$B$18,0,Parameters!$B$16+(Parameters!$B$17-Parameters!$B$16)*(Q86-MIN(Q$2:Q$139))/(MAX(Q$2:Q$139)-MIN(Q$2:Q$139)))</f>
        <v>2.3402941061991818E-2</v>
      </c>
      <c r="S86" s="16">
        <f>ROUND(P86*(1-R86)/Parameters!$B$10,0)*Parameters!$B$10</f>
        <v>44.47</v>
      </c>
    </row>
    <row r="87" spans="1:19" x14ac:dyDescent="0.35">
      <c r="A87" s="8" t="s">
        <v>195</v>
      </c>
      <c r="B87" s="8" t="s">
        <v>99</v>
      </c>
      <c r="C87" s="9">
        <v>5.5</v>
      </c>
      <c r="D87" s="10">
        <v>-170</v>
      </c>
      <c r="E87" s="10">
        <v>130</v>
      </c>
      <c r="F87" s="11">
        <f t="shared" si="8"/>
        <v>0.62962962962962965</v>
      </c>
      <c r="G87" s="11">
        <f t="shared" si="9"/>
        <v>0.43478260869565216</v>
      </c>
      <c r="H87" s="11">
        <f t="shared" si="10"/>
        <v>0.59152798789712557</v>
      </c>
      <c r="I87" s="12">
        <f>C87+Parameters!$B$6*NORMSINV(H87)</f>
        <v>6.0092500440591561</v>
      </c>
      <c r="J87" s="10">
        <v>40</v>
      </c>
      <c r="K87" s="9">
        <v>44.03</v>
      </c>
      <c r="L87" s="13">
        <v>0.46929999999999999</v>
      </c>
      <c r="M87" s="10">
        <v>1</v>
      </c>
      <c r="N87" s="14">
        <f>Parameters!$B$2*I87</f>
        <v>30.046250220295782</v>
      </c>
      <c r="O87" s="14">
        <f>Parameters!$B$4*((Parameters!$B$9-M87)*L87+M87)</f>
        <v>15.405750000000001</v>
      </c>
      <c r="P87" s="14">
        <f t="shared" si="11"/>
        <v>45.452000220295787</v>
      </c>
      <c r="Q87" s="11">
        <f>(O87-Parameters!$B$4*M87)/P87</f>
        <v>0.2839423993982374</v>
      </c>
      <c r="R87" s="15">
        <f>IF(Parameters!$B$4*M87/P87&gt;Parameters!$B$18,0,Parameters!$B$16+(Parameters!$B$17-Parameters!$B$16)*(Q87-MIN(Q$2:Q$139))/(MAX(Q$2:Q$139)-MIN(Q$2:Q$139)))</f>
        <v>2.3311210136143849E-2</v>
      </c>
      <c r="S87" s="16">
        <f>ROUND(P87*(1-R87)/Parameters!$B$10,0)*Parameters!$B$10</f>
        <v>44.39</v>
      </c>
    </row>
    <row r="88" spans="1:19" x14ac:dyDescent="0.35">
      <c r="A88" s="8" t="s">
        <v>196</v>
      </c>
      <c r="B88" s="8" t="s">
        <v>143</v>
      </c>
      <c r="C88" s="9">
        <v>5.5</v>
      </c>
      <c r="D88" s="10">
        <v>-155</v>
      </c>
      <c r="E88" s="10">
        <v>120</v>
      </c>
      <c r="F88" s="11">
        <f t="shared" si="8"/>
        <v>0.60784313725490191</v>
      </c>
      <c r="G88" s="11">
        <f t="shared" si="9"/>
        <v>0.45454545454545453</v>
      </c>
      <c r="H88" s="11">
        <f t="shared" si="10"/>
        <v>0.57214765100671139</v>
      </c>
      <c r="I88" s="12">
        <f>C88+Parameters!$B$6*NORMSINV(H88)</f>
        <v>5.9000580758988148</v>
      </c>
      <c r="J88" s="10">
        <v>16</v>
      </c>
      <c r="K88" s="9">
        <v>29.27</v>
      </c>
      <c r="L88" s="13">
        <v>0.47939999999999999</v>
      </c>
      <c r="M88" s="10">
        <v>1</v>
      </c>
      <c r="N88" s="14">
        <f>Parameters!$B$2*I88</f>
        <v>29.500290379494075</v>
      </c>
      <c r="O88" s="14">
        <f>Parameters!$B$4*((Parameters!$B$9-M88)*L88+M88)</f>
        <v>15.683499999999999</v>
      </c>
      <c r="P88" s="14">
        <f t="shared" si="11"/>
        <v>45.18379037949407</v>
      </c>
      <c r="Q88" s="11">
        <f>(O88-Parameters!$B$4*M88)/P88</f>
        <v>0.29177499030676973</v>
      </c>
      <c r="R88" s="15">
        <f>IF(Parameters!$B$4*M88/P88&gt;Parameters!$B$18,0,Parameters!$B$16+(Parameters!$B$17-Parameters!$B$16)*(Q88-MIN(Q$2:Q$139))/(MAX(Q$2:Q$139)-MIN(Q$2:Q$139)))</f>
        <v>2.3733748879864246E-2</v>
      </c>
      <c r="S88" s="16">
        <f>ROUND(P88*(1-R88)/Parameters!$B$10,0)*Parameters!$B$10</f>
        <v>44.11</v>
      </c>
    </row>
    <row r="89" spans="1:19" x14ac:dyDescent="0.35">
      <c r="A89" s="8" t="s">
        <v>197</v>
      </c>
      <c r="B89" s="8" t="s">
        <v>122</v>
      </c>
      <c r="C89" s="9">
        <v>5.5</v>
      </c>
      <c r="D89" s="10">
        <v>-160</v>
      </c>
      <c r="E89" s="10">
        <v>125</v>
      </c>
      <c r="F89" s="11">
        <f t="shared" si="8"/>
        <v>0.61538461538461542</v>
      </c>
      <c r="G89" s="11">
        <f t="shared" si="9"/>
        <v>0.44444444444444442</v>
      </c>
      <c r="H89" s="11">
        <f t="shared" si="10"/>
        <v>0.58064516129032262</v>
      </c>
      <c r="I89" s="12">
        <f>C89+Parameters!$B$6*NORMSINV(H89)</f>
        <v>5.9477973093714702</v>
      </c>
      <c r="J89" s="10">
        <v>20</v>
      </c>
      <c r="K89" s="9">
        <v>31.83</v>
      </c>
      <c r="L89" s="13">
        <v>0.46789999999999998</v>
      </c>
      <c r="M89" s="10">
        <v>1</v>
      </c>
      <c r="N89" s="14">
        <f>Parameters!$B$2*I89</f>
        <v>29.738986546857351</v>
      </c>
      <c r="O89" s="14">
        <f>Parameters!$B$4*((Parameters!$B$9-M89)*L89+M89)</f>
        <v>15.367249999999999</v>
      </c>
      <c r="P89" s="14">
        <f t="shared" si="11"/>
        <v>45.106236546857346</v>
      </c>
      <c r="Q89" s="11">
        <f>(O89-Parameters!$B$4*M89)/P89</f>
        <v>0.28526543079321676</v>
      </c>
      <c r="R89" s="15">
        <f>IF(Parameters!$B$4*M89/P89&gt;Parameters!$B$18,0,Parameters!$B$16+(Parameters!$B$17-Parameters!$B$16)*(Q89-MIN(Q$2:Q$139))/(MAX(Q$2:Q$139)-MIN(Q$2:Q$139)))</f>
        <v>2.3382582690904527E-2</v>
      </c>
      <c r="S89" s="16">
        <f>ROUND(P89*(1-R89)/Parameters!$B$10,0)*Parameters!$B$10</f>
        <v>44.050000000000004</v>
      </c>
    </row>
    <row r="90" spans="1:19" x14ac:dyDescent="0.35">
      <c r="A90" s="8" t="s">
        <v>198</v>
      </c>
      <c r="B90" s="8" t="s">
        <v>117</v>
      </c>
      <c r="C90" s="9">
        <v>5.5</v>
      </c>
      <c r="D90" s="10">
        <v>-150</v>
      </c>
      <c r="E90" s="10">
        <v>120</v>
      </c>
      <c r="F90" s="11">
        <f t="shared" si="8"/>
        <v>0.6</v>
      </c>
      <c r="G90" s="11">
        <f t="shared" si="9"/>
        <v>0.45454545454545453</v>
      </c>
      <c r="H90" s="11">
        <f t="shared" si="10"/>
        <v>0.56896551724137934</v>
      </c>
      <c r="I90" s="12">
        <f>C90+Parameters!$B$6*NORMSINV(H90)</f>
        <v>5.8822303362059003</v>
      </c>
      <c r="J90" s="10">
        <v>20</v>
      </c>
      <c r="K90" s="9">
        <v>31.61</v>
      </c>
      <c r="L90" s="13">
        <v>0.47720000000000001</v>
      </c>
      <c r="M90" s="10">
        <v>1</v>
      </c>
      <c r="N90" s="14">
        <f>Parameters!$B$2*I90</f>
        <v>29.411151681029502</v>
      </c>
      <c r="O90" s="14">
        <f>Parameters!$B$4*((Parameters!$B$9-M90)*L90+M90)</f>
        <v>15.623000000000001</v>
      </c>
      <c r="P90" s="14">
        <f t="shared" si="11"/>
        <v>45.034151681029499</v>
      </c>
      <c r="Q90" s="11">
        <f>(O90-Parameters!$B$4*M90)/P90</f>
        <v>0.29140107030211976</v>
      </c>
      <c r="R90" s="15">
        <f>IF(Parameters!$B$4*M90/P90&gt;Parameters!$B$18,0,Parameters!$B$16+(Parameters!$B$17-Parameters!$B$16)*(Q90-MIN(Q$2:Q$139))/(MAX(Q$2:Q$139)-MIN(Q$2:Q$139)))</f>
        <v>2.3713577305622492E-2</v>
      </c>
      <c r="S90" s="16">
        <f>ROUND(P90*(1-R90)/Parameters!$B$10,0)*Parameters!$B$10</f>
        <v>43.97</v>
      </c>
    </row>
    <row r="91" spans="1:19" x14ac:dyDescent="0.35">
      <c r="A91" s="8" t="s">
        <v>199</v>
      </c>
      <c r="B91" s="8" t="s">
        <v>99</v>
      </c>
      <c r="C91" s="9">
        <v>6.5</v>
      </c>
      <c r="D91" s="10">
        <v>150</v>
      </c>
      <c r="E91" s="10">
        <v>-190</v>
      </c>
      <c r="F91" s="11">
        <f t="shared" si="8"/>
        <v>0.4</v>
      </c>
      <c r="G91" s="11">
        <f t="shared" si="9"/>
        <v>0.65517241379310343</v>
      </c>
      <c r="H91" s="11">
        <f t="shared" si="10"/>
        <v>0.37908496732026142</v>
      </c>
      <c r="I91" s="12">
        <f>C91+Parameters!$B$6*NORMSINV(H91)</f>
        <v>5.8226532735829979</v>
      </c>
      <c r="J91" s="10">
        <v>46</v>
      </c>
      <c r="K91" s="9">
        <v>47.01</v>
      </c>
      <c r="L91" s="13">
        <v>0.48630000000000001</v>
      </c>
      <c r="M91" s="10">
        <v>1</v>
      </c>
      <c r="N91" s="14">
        <f>Parameters!$B$2*I91</f>
        <v>29.113266367914989</v>
      </c>
      <c r="O91" s="14">
        <f>Parameters!$B$4*((Parameters!$B$9-M91)*L91+M91)</f>
        <v>15.873250000000001</v>
      </c>
      <c r="P91" s="14">
        <f t="shared" si="11"/>
        <v>44.986516367914987</v>
      </c>
      <c r="Q91" s="11">
        <f>(O91-Parameters!$B$4*M91)/P91</f>
        <v>0.29727240692808987</v>
      </c>
      <c r="R91" s="15">
        <f>IF(Parameters!$B$4*M91/P91&gt;Parameters!$B$18,0,Parameters!$B$16+(Parameters!$B$17-Parameters!$B$16)*(Q91-MIN(Q$2:Q$139))/(MAX(Q$2:Q$139)-MIN(Q$2:Q$139)))</f>
        <v>2.4030313776461851E-2</v>
      </c>
      <c r="S91" s="16">
        <f>ROUND(P91*(1-R91)/Parameters!$B$10,0)*Parameters!$B$10</f>
        <v>43.910000000000004</v>
      </c>
    </row>
    <row r="92" spans="1:19" x14ac:dyDescent="0.35">
      <c r="A92" s="8" t="s">
        <v>200</v>
      </c>
      <c r="B92" s="8" t="s">
        <v>122</v>
      </c>
      <c r="C92" s="9">
        <v>5.5</v>
      </c>
      <c r="D92" s="10">
        <v>-130</v>
      </c>
      <c r="E92" s="10">
        <v>100</v>
      </c>
      <c r="F92" s="11">
        <f t="shared" si="8"/>
        <v>0.56521739130434778</v>
      </c>
      <c r="G92" s="11">
        <f t="shared" si="9"/>
        <v>0.5</v>
      </c>
      <c r="H92" s="11">
        <f t="shared" si="10"/>
        <v>0.53061224489795922</v>
      </c>
      <c r="I92" s="12">
        <f>C92+Parameters!$B$6*NORMSINV(H92)</f>
        <v>5.6689797466926981</v>
      </c>
      <c r="J92" s="10">
        <v>24</v>
      </c>
      <c r="K92" s="9">
        <v>33.299999999999997</v>
      </c>
      <c r="L92" s="13">
        <v>0.47939999999999999</v>
      </c>
      <c r="M92" s="10">
        <v>1</v>
      </c>
      <c r="N92" s="14">
        <f>Parameters!$B$2*I92</f>
        <v>28.344898733463491</v>
      </c>
      <c r="O92" s="14">
        <f>Parameters!$B$4*((Parameters!$B$9-M92)*L92+M92)</f>
        <v>15.683499999999999</v>
      </c>
      <c r="P92" s="14">
        <f t="shared" si="11"/>
        <v>44.02839873346349</v>
      </c>
      <c r="Q92" s="11">
        <f>(O92-Parameters!$B$4*M92)/P92</f>
        <v>0.29943173904210074</v>
      </c>
      <c r="R92" s="15">
        <f>IF(Parameters!$B$4*M92/P92&gt;Parameters!$B$18,0,Parameters!$B$16+(Parameters!$B$17-Parameters!$B$16)*(Q92-MIN(Q$2:Q$139))/(MAX(Q$2:Q$139)-MIN(Q$2:Q$139)))</f>
        <v>2.4146801601420943E-2</v>
      </c>
      <c r="S92" s="16">
        <f>ROUND(P92*(1-R92)/Parameters!$B$10,0)*Parameters!$B$10</f>
        <v>42.97</v>
      </c>
    </row>
    <row r="93" spans="1:19" x14ac:dyDescent="0.35">
      <c r="A93" s="8" t="s">
        <v>201</v>
      </c>
      <c r="B93" s="8" t="s">
        <v>103</v>
      </c>
      <c r="C93" s="9">
        <v>5.5</v>
      </c>
      <c r="D93" s="10">
        <v>-125</v>
      </c>
      <c r="E93" s="10">
        <v>-102</v>
      </c>
      <c r="F93" s="11">
        <f t="shared" si="8"/>
        <v>0.55555555555555558</v>
      </c>
      <c r="G93" s="11">
        <f t="shared" si="9"/>
        <v>0.50495049504950495</v>
      </c>
      <c r="H93" s="11">
        <f t="shared" si="10"/>
        <v>0.52385892116182575</v>
      </c>
      <c r="I93" s="12">
        <f>C93+Parameters!$B$6*NORMSINV(H93)</f>
        <v>5.6316505124498057</v>
      </c>
      <c r="J93" s="10">
        <v>38</v>
      </c>
      <c r="K93" s="9">
        <v>41.57</v>
      </c>
      <c r="L93" s="13">
        <v>0.4657</v>
      </c>
      <c r="M93" s="10">
        <v>1</v>
      </c>
      <c r="N93" s="14">
        <f>Parameters!$B$2*I93</f>
        <v>28.158252562249029</v>
      </c>
      <c r="O93" s="14">
        <f>Parameters!$B$4*((Parameters!$B$9-M93)*L93+M93)</f>
        <v>15.306750000000001</v>
      </c>
      <c r="P93" s="14">
        <f t="shared" si="11"/>
        <v>43.465002562249026</v>
      </c>
      <c r="Q93" s="11">
        <f>(O93-Parameters!$B$4*M93)/P93</f>
        <v>0.29464509939136968</v>
      </c>
      <c r="R93" s="15">
        <f>IF(Parameters!$B$4*M93/P93&gt;Parameters!$B$18,0,Parameters!$B$16+(Parameters!$B$17-Parameters!$B$16)*(Q93-MIN(Q$2:Q$139))/(MAX(Q$2:Q$139)-MIN(Q$2:Q$139)))</f>
        <v>2.3888580442128819E-2</v>
      </c>
      <c r="S93" s="16">
        <f>ROUND(P93*(1-R93)/Parameters!$B$10,0)*Parameters!$B$10</f>
        <v>42.43</v>
      </c>
    </row>
    <row r="94" spans="1:19" x14ac:dyDescent="0.35">
      <c r="A94" s="8" t="s">
        <v>202</v>
      </c>
      <c r="B94" s="8" t="s">
        <v>109</v>
      </c>
      <c r="C94" s="9">
        <v>5.5</v>
      </c>
      <c r="D94" s="10">
        <v>-155</v>
      </c>
      <c r="E94" s="10">
        <v>120</v>
      </c>
      <c r="F94" s="11">
        <f t="shared" si="8"/>
        <v>0.60784313725490191</v>
      </c>
      <c r="G94" s="11">
        <f t="shared" si="9"/>
        <v>0.45454545454545453</v>
      </c>
      <c r="H94" s="11">
        <f t="shared" si="10"/>
        <v>0.57214765100671139</v>
      </c>
      <c r="I94" s="12">
        <f>C94+Parameters!$B$6*NORMSINV(H94)</f>
        <v>5.9000580758988148</v>
      </c>
      <c r="J94" s="10">
        <v>36</v>
      </c>
      <c r="K94" s="9">
        <v>41.27</v>
      </c>
      <c r="L94" s="13">
        <v>0.40179999999999999</v>
      </c>
      <c r="M94" s="10">
        <v>1</v>
      </c>
      <c r="N94" s="14">
        <f>Parameters!$B$2*I94</f>
        <v>29.500290379494075</v>
      </c>
      <c r="O94" s="14">
        <f>Parameters!$B$4*((Parameters!$B$9-M94)*L94+M94)</f>
        <v>13.549499999999998</v>
      </c>
      <c r="P94" s="14">
        <f t="shared" si="11"/>
        <v>43.04979037949407</v>
      </c>
      <c r="Q94" s="11">
        <f>(O94-Parameters!$B$4*M94)/P94</f>
        <v>0.25666791644270615</v>
      </c>
      <c r="R94" s="15">
        <f>IF(Parameters!$B$4*M94/P94&gt;Parameters!$B$18,0,Parameters!$B$16+(Parameters!$B$17-Parameters!$B$16)*(Q94-MIN(Q$2:Q$139))/(MAX(Q$2:Q$139)-MIN(Q$2:Q$139)))</f>
        <v>2.1839854629615414E-2</v>
      </c>
      <c r="S94" s="16">
        <f>ROUND(P94*(1-R94)/Parameters!$B$10,0)*Parameters!$B$10</f>
        <v>42.11</v>
      </c>
    </row>
    <row r="95" spans="1:19" x14ac:dyDescent="0.35">
      <c r="A95" s="8" t="s">
        <v>203</v>
      </c>
      <c r="B95" s="8" t="s">
        <v>130</v>
      </c>
      <c r="C95" s="9">
        <v>5.5</v>
      </c>
      <c r="D95" s="10">
        <v>-110</v>
      </c>
      <c r="E95" s="10">
        <v>-120</v>
      </c>
      <c r="F95" s="11">
        <f t="shared" si="8"/>
        <v>0.52380952380952384</v>
      </c>
      <c r="G95" s="11">
        <f t="shared" si="9"/>
        <v>0.54545454545454541</v>
      </c>
      <c r="H95" s="11">
        <f t="shared" si="10"/>
        <v>0.48987854251012153</v>
      </c>
      <c r="I95" s="12">
        <f>C95+Parameters!$B$6*NORMSINV(H95)</f>
        <v>5.444178401453593</v>
      </c>
      <c r="J95" s="10">
        <v>22</v>
      </c>
      <c r="K95" s="9">
        <v>31.35</v>
      </c>
      <c r="L95" s="13">
        <v>0.4798</v>
      </c>
      <c r="M95" s="10">
        <v>1</v>
      </c>
      <c r="N95" s="14">
        <f>Parameters!$B$2*I95</f>
        <v>27.220892007267963</v>
      </c>
      <c r="O95" s="14">
        <f>Parameters!$B$4*((Parameters!$B$9-M95)*L95+M95)</f>
        <v>15.6945</v>
      </c>
      <c r="P95" s="14">
        <f t="shared" si="11"/>
        <v>42.915392007267961</v>
      </c>
      <c r="Q95" s="11">
        <f>(O95-Parameters!$B$4*M95)/P95</f>
        <v>0.30745379181822313</v>
      </c>
      <c r="R95" s="15">
        <f>IF(Parameters!$B$4*M95/P95&gt;Parameters!$B$18,0,Parameters!$B$16+(Parameters!$B$17-Parameters!$B$16)*(Q95-MIN(Q$2:Q$139))/(MAX(Q$2:Q$139)-MIN(Q$2:Q$139)))</f>
        <v>2.4579561098459018E-2</v>
      </c>
      <c r="S95" s="16">
        <f>ROUND(P95*(1-R95)/Parameters!$B$10,0)*Parameters!$B$10</f>
        <v>41.86</v>
      </c>
    </row>
    <row r="96" spans="1:19" x14ac:dyDescent="0.35">
      <c r="A96" s="8" t="s">
        <v>204</v>
      </c>
      <c r="B96" s="8" t="s">
        <v>101</v>
      </c>
      <c r="C96" s="9">
        <v>5.5</v>
      </c>
      <c r="D96" s="10">
        <v>-118</v>
      </c>
      <c r="E96" s="10">
        <v>-110</v>
      </c>
      <c r="F96" s="11">
        <f t="shared" si="8"/>
        <v>0.54128440366972475</v>
      </c>
      <c r="G96" s="11">
        <f t="shared" si="9"/>
        <v>0.52380952380952384</v>
      </c>
      <c r="H96" s="11">
        <f t="shared" si="10"/>
        <v>0.50820344544708773</v>
      </c>
      <c r="I96" s="12">
        <f>C96+Parameters!$B$6*NORMSINV(H96)</f>
        <v>5.5452417628340847</v>
      </c>
      <c r="J96" s="10">
        <v>28</v>
      </c>
      <c r="K96" s="9">
        <v>35.28</v>
      </c>
      <c r="L96" s="13">
        <v>0.45760000000000001</v>
      </c>
      <c r="M96" s="10">
        <v>1</v>
      </c>
      <c r="N96" s="14">
        <f>Parameters!$B$2*I96</f>
        <v>27.726208814170423</v>
      </c>
      <c r="O96" s="14">
        <f>Parameters!$B$4*((Parameters!$B$9-M96)*L96+M96)</f>
        <v>15.084</v>
      </c>
      <c r="P96" s="14">
        <f t="shared" si="11"/>
        <v>42.810208814170423</v>
      </c>
      <c r="Q96" s="11">
        <f>(O96-Parameters!$B$4*M96)/P96</f>
        <v>0.29394857788767953</v>
      </c>
      <c r="R96" s="15">
        <f>IF(Parameters!$B$4*M96/P96&gt;Parameters!$B$18,0,Parameters!$B$16+(Parameters!$B$17-Parameters!$B$16)*(Q96-MIN(Q$2:Q$139))/(MAX(Q$2:Q$139)-MIN(Q$2:Q$139)))</f>
        <v>2.3851005733506812E-2</v>
      </c>
      <c r="S96" s="16">
        <f>ROUND(P96*(1-R96)/Parameters!$B$10,0)*Parameters!$B$10</f>
        <v>41.79</v>
      </c>
    </row>
    <row r="97" spans="1:19" x14ac:dyDescent="0.35">
      <c r="A97" s="8" t="s">
        <v>205</v>
      </c>
      <c r="B97" s="8" t="s">
        <v>103</v>
      </c>
      <c r="C97" s="9">
        <v>5.5</v>
      </c>
      <c r="D97" s="10">
        <v>-125</v>
      </c>
      <c r="E97" s="10">
        <v>100</v>
      </c>
      <c r="F97" s="11">
        <f t="shared" si="8"/>
        <v>0.55555555555555558</v>
      </c>
      <c r="G97" s="11">
        <f t="shared" si="9"/>
        <v>0.5</v>
      </c>
      <c r="H97" s="11">
        <f t="shared" si="10"/>
        <v>0.52631578947368418</v>
      </c>
      <c r="I97" s="12">
        <f>C97+Parameters!$B$6*NORMSINV(H97)</f>
        <v>5.6452259872268495</v>
      </c>
      <c r="J97" s="10">
        <v>30</v>
      </c>
      <c r="K97" s="9">
        <v>36.82</v>
      </c>
      <c r="L97" s="13">
        <v>0.43459999999999999</v>
      </c>
      <c r="M97" s="10">
        <v>1</v>
      </c>
      <c r="N97" s="14">
        <f>Parameters!$B$2*I97</f>
        <v>28.226129936134249</v>
      </c>
      <c r="O97" s="14">
        <f>Parameters!$B$4*((Parameters!$B$9-M97)*L97+M97)</f>
        <v>14.451499999999999</v>
      </c>
      <c r="P97" s="14">
        <f t="shared" si="11"/>
        <v>42.677629936134252</v>
      </c>
      <c r="Q97" s="11">
        <f>(O97-Parameters!$B$4*M97)/P97</f>
        <v>0.28004132417580468</v>
      </c>
      <c r="R97" s="15">
        <f>IF(Parameters!$B$4*M97/P97&gt;Parameters!$B$18,0,Parameters!$B$16+(Parameters!$B$17-Parameters!$B$16)*(Q97-MIN(Q$2:Q$139))/(MAX(Q$2:Q$139)-MIN(Q$2:Q$139)))</f>
        <v>2.3100761838397328E-2</v>
      </c>
      <c r="S97" s="16">
        <f>ROUND(P97*(1-R97)/Parameters!$B$10,0)*Parameters!$B$10</f>
        <v>41.69</v>
      </c>
    </row>
    <row r="98" spans="1:19" x14ac:dyDescent="0.35">
      <c r="A98" s="8" t="s">
        <v>206</v>
      </c>
      <c r="B98" s="8" t="s">
        <v>133</v>
      </c>
      <c r="C98" s="9">
        <v>4.5</v>
      </c>
      <c r="D98" s="10">
        <v>-190</v>
      </c>
      <c r="E98" s="10">
        <v>145</v>
      </c>
      <c r="F98" s="11">
        <f t="shared" ref="F98:F129" si="12">IF(D98&gt;0,100/(D98+100),-D98/(-D98+100))</f>
        <v>0.65517241379310343</v>
      </c>
      <c r="G98" s="11">
        <f t="shared" ref="G98:G129" si="13">IF(E98&gt;0,100/(E98+100),-E98/(-E98+100))</f>
        <v>0.40816326530612246</v>
      </c>
      <c r="H98" s="11">
        <f t="shared" ref="H98:H129" si="14">F98/(F98+G98)</f>
        <v>0.61614824619457309</v>
      </c>
      <c r="I98" s="12">
        <f>C98+Parameters!$B$6*NORMSINV(H98)</f>
        <v>5.1498362942268976</v>
      </c>
      <c r="J98" s="10">
        <v>34</v>
      </c>
      <c r="K98" s="9">
        <v>37.57</v>
      </c>
      <c r="L98" s="13">
        <v>0.49719999999999998</v>
      </c>
      <c r="M98" s="10">
        <v>1</v>
      </c>
      <c r="N98" s="14">
        <f>Parameters!$B$2*I98</f>
        <v>25.749181471134488</v>
      </c>
      <c r="O98" s="14">
        <f>Parameters!$B$4*((Parameters!$B$9-M98)*L98+M98)</f>
        <v>16.172999999999998</v>
      </c>
      <c r="P98" s="14">
        <f t="shared" ref="P98:P129" si="15">N98+O98</f>
        <v>41.922181471134486</v>
      </c>
      <c r="Q98" s="11">
        <f>(O98-Parameters!$B$4*M98)/P98</f>
        <v>0.3261519205391194</v>
      </c>
      <c r="R98" s="15">
        <f>IF(Parameters!$B$4*M98/P98&gt;Parameters!$B$18,0,Parameters!$B$16+(Parameters!$B$17-Parameters!$B$16)*(Q98-MIN(Q$2:Q$139))/(MAX(Q$2:Q$139)-MIN(Q$2:Q$139)))</f>
        <v>2.5588254634469343E-2</v>
      </c>
      <c r="S98" s="16">
        <f>ROUND(P98*(1-R98)/Parameters!$B$10,0)*Parameters!$B$10</f>
        <v>40.85</v>
      </c>
    </row>
    <row r="99" spans="1:19" x14ac:dyDescent="0.35">
      <c r="A99" s="8" t="s">
        <v>207</v>
      </c>
      <c r="B99" s="8" t="s">
        <v>122</v>
      </c>
      <c r="C99" s="9">
        <v>5.5</v>
      </c>
      <c r="D99" s="10">
        <v>-105</v>
      </c>
      <c r="E99" s="10">
        <v>-125</v>
      </c>
      <c r="F99" s="11">
        <f t="shared" si="12"/>
        <v>0.51219512195121952</v>
      </c>
      <c r="G99" s="11">
        <f t="shared" si="13"/>
        <v>0.55555555555555558</v>
      </c>
      <c r="H99" s="11">
        <f t="shared" si="14"/>
        <v>0.47969543147208121</v>
      </c>
      <c r="I99" s="12">
        <f>C99+Parameters!$B$6*NORMSINV(H99)</f>
        <v>5.3879804020866224</v>
      </c>
      <c r="J99" s="10">
        <v>20</v>
      </c>
      <c r="K99" s="9">
        <v>29.96</v>
      </c>
      <c r="L99" s="13">
        <v>0.45240000000000002</v>
      </c>
      <c r="M99" s="10">
        <v>1</v>
      </c>
      <c r="N99" s="14">
        <f>Parameters!$B$2*I99</f>
        <v>26.939902010433112</v>
      </c>
      <c r="O99" s="14">
        <f>Parameters!$B$4*((Parameters!$B$9-M99)*L99+M99)</f>
        <v>14.940999999999999</v>
      </c>
      <c r="P99" s="14">
        <f t="shared" si="15"/>
        <v>41.880902010433111</v>
      </c>
      <c r="Q99" s="11">
        <f>(O99-Parameters!$B$4*M99)/P99</f>
        <v>0.29705663925052939</v>
      </c>
      <c r="R99" s="15">
        <f>IF(Parameters!$B$4*M99/P99&gt;Parameters!$B$18,0,Parameters!$B$16+(Parameters!$B$17-Parameters!$B$16)*(Q99-MIN(Q$2:Q$139))/(MAX(Q$2:Q$139)-MIN(Q$2:Q$139)))</f>
        <v>2.4018673923892436E-2</v>
      </c>
      <c r="S99" s="16">
        <f>ROUND(P99*(1-R99)/Parameters!$B$10,0)*Parameters!$B$10</f>
        <v>40.869999999999997</v>
      </c>
    </row>
    <row r="100" spans="1:19" x14ac:dyDescent="0.35">
      <c r="A100" s="8" t="s">
        <v>208</v>
      </c>
      <c r="B100" s="8" t="s">
        <v>122</v>
      </c>
      <c r="C100" s="9">
        <v>5.5</v>
      </c>
      <c r="D100" s="10">
        <v>100</v>
      </c>
      <c r="E100" s="10">
        <v>-130</v>
      </c>
      <c r="F100" s="11">
        <f t="shared" si="12"/>
        <v>0.5</v>
      </c>
      <c r="G100" s="11">
        <f t="shared" si="13"/>
        <v>0.56521739130434778</v>
      </c>
      <c r="H100" s="11">
        <f t="shared" si="14"/>
        <v>0.46938775510204089</v>
      </c>
      <c r="I100" s="12">
        <f>C100+Parameters!$B$6*NORMSINV(H100)</f>
        <v>5.3310202533073028</v>
      </c>
      <c r="J100" s="10">
        <v>20</v>
      </c>
      <c r="K100" s="9">
        <v>29.77</v>
      </c>
      <c r="L100" s="13">
        <v>0.45079999999999998</v>
      </c>
      <c r="M100" s="10">
        <v>1</v>
      </c>
      <c r="N100" s="14">
        <f>Parameters!$B$2*I100</f>
        <v>26.655101266536512</v>
      </c>
      <c r="O100" s="14">
        <f>Parameters!$B$4*((Parameters!$B$9-M100)*L100+M100)</f>
        <v>14.897</v>
      </c>
      <c r="P100" s="14">
        <f t="shared" si="15"/>
        <v>41.552101266536511</v>
      </c>
      <c r="Q100" s="11">
        <f>(O100-Parameters!$B$4*M100)/P100</f>
        <v>0.29834832949793028</v>
      </c>
      <c r="R100" s="15">
        <f>IF(Parameters!$B$4*M100/P100&gt;Parameters!$B$18,0,Parameters!$B$16+(Parameters!$B$17-Parameters!$B$16)*(Q100-MIN(Q$2:Q$139))/(MAX(Q$2:Q$139)-MIN(Q$2:Q$139)))</f>
        <v>2.40883557419251E-2</v>
      </c>
      <c r="S100" s="16">
        <f>ROUND(P100*(1-R100)/Parameters!$B$10,0)*Parameters!$B$10</f>
        <v>40.550000000000004</v>
      </c>
    </row>
    <row r="101" spans="1:19" x14ac:dyDescent="0.35">
      <c r="A101" s="8" t="s">
        <v>209</v>
      </c>
      <c r="B101" s="8" t="s">
        <v>107</v>
      </c>
      <c r="C101" s="9">
        <v>5.5</v>
      </c>
      <c r="D101" s="10">
        <v>-110</v>
      </c>
      <c r="E101" s="10">
        <v>-118</v>
      </c>
      <c r="F101" s="11">
        <f t="shared" si="12"/>
        <v>0.52380952380952384</v>
      </c>
      <c r="G101" s="11">
        <f t="shared" si="13"/>
        <v>0.54128440366972475</v>
      </c>
      <c r="H101" s="11">
        <f t="shared" si="14"/>
        <v>0.49179655455291227</v>
      </c>
      <c r="I101" s="12">
        <f>C101+Parameters!$B$6*NORMSINV(H101)</f>
        <v>5.4547582371659153</v>
      </c>
      <c r="J101" s="10">
        <v>34</v>
      </c>
      <c r="K101" s="9">
        <v>38.58</v>
      </c>
      <c r="L101" s="13">
        <v>0.41039999999999999</v>
      </c>
      <c r="M101" s="10">
        <v>1</v>
      </c>
      <c r="N101" s="14">
        <f>Parameters!$B$2*I101</f>
        <v>27.273791185829577</v>
      </c>
      <c r="O101" s="14">
        <f>Parameters!$B$4*((Parameters!$B$9-M101)*L101+M101)</f>
        <v>13.786000000000001</v>
      </c>
      <c r="P101" s="14">
        <f t="shared" si="15"/>
        <v>41.059791185829582</v>
      </c>
      <c r="Q101" s="11">
        <f>(O101-Parameters!$B$4*M101)/P101</f>
        <v>0.27486744754549525</v>
      </c>
      <c r="R101" s="15">
        <f>IF(Parameters!$B$4*M101/P101&gt;Parameters!$B$18,0,Parameters!$B$16+(Parameters!$B$17-Parameters!$B$16)*(Q101-MIN(Q$2:Q$139))/(MAX(Q$2:Q$139)-MIN(Q$2:Q$139)))</f>
        <v>2.2821650704282839E-2</v>
      </c>
      <c r="S101" s="16">
        <f>ROUND(P101*(1-R101)/Parameters!$B$10,0)*Parameters!$B$10</f>
        <v>40.119999999999997</v>
      </c>
    </row>
    <row r="102" spans="1:19" x14ac:dyDescent="0.35">
      <c r="A102" s="8" t="s">
        <v>210</v>
      </c>
      <c r="B102" s="8" t="s">
        <v>107</v>
      </c>
      <c r="C102" s="9">
        <v>5.5</v>
      </c>
      <c r="D102" s="10">
        <v>100</v>
      </c>
      <c r="E102" s="10">
        <v>-125</v>
      </c>
      <c r="F102" s="11">
        <f t="shared" si="12"/>
        <v>0.5</v>
      </c>
      <c r="G102" s="11">
        <f t="shared" si="13"/>
        <v>0.55555555555555558</v>
      </c>
      <c r="H102" s="11">
        <f t="shared" si="14"/>
        <v>0.47368421052631576</v>
      </c>
      <c r="I102" s="12">
        <f>C102+Parameters!$B$6*NORMSINV(H102)</f>
        <v>5.3547740127731505</v>
      </c>
      <c r="J102" s="10">
        <v>36</v>
      </c>
      <c r="K102" s="9">
        <v>39.450000000000003</v>
      </c>
      <c r="L102" s="13">
        <v>0.41589999999999999</v>
      </c>
      <c r="M102" s="10">
        <v>1</v>
      </c>
      <c r="N102" s="14">
        <f>Parameters!$B$2*I102</f>
        <v>26.773870063865751</v>
      </c>
      <c r="O102" s="14">
        <f>Parameters!$B$4*((Parameters!$B$9-M102)*L102+M102)</f>
        <v>13.937249999999999</v>
      </c>
      <c r="P102" s="14">
        <f t="shared" si="15"/>
        <v>40.711120063865749</v>
      </c>
      <c r="Q102" s="11">
        <f>(O102-Parameters!$B$4*M102)/P102</f>
        <v>0.28093675590496558</v>
      </c>
      <c r="R102" s="15">
        <f>IF(Parameters!$B$4*M102/P102&gt;Parameters!$B$18,0,Parameters!$B$16+(Parameters!$B$17-Parameters!$B$16)*(Q102-MIN(Q$2:Q$139))/(MAX(Q$2:Q$139)-MIN(Q$2:Q$139)))</f>
        <v>2.3149067003616013E-2</v>
      </c>
      <c r="S102" s="16">
        <f>ROUND(P102*(1-R102)/Parameters!$B$10,0)*Parameters!$B$10</f>
        <v>39.770000000000003</v>
      </c>
    </row>
    <row r="103" spans="1:19" x14ac:dyDescent="0.35">
      <c r="A103" s="8" t="s">
        <v>211</v>
      </c>
      <c r="B103" s="8" t="s">
        <v>99</v>
      </c>
      <c r="C103" s="9">
        <v>5.5</v>
      </c>
      <c r="D103" s="10">
        <v>120</v>
      </c>
      <c r="E103" s="10">
        <v>-155</v>
      </c>
      <c r="F103" s="11">
        <f t="shared" si="12"/>
        <v>0.45454545454545453</v>
      </c>
      <c r="G103" s="11">
        <f t="shared" si="13"/>
        <v>0.60784313725490191</v>
      </c>
      <c r="H103" s="11">
        <f t="shared" si="14"/>
        <v>0.42785234899328861</v>
      </c>
      <c r="I103" s="12">
        <f>C103+Parameters!$B$6*NORMSINV(H103)</f>
        <v>5.0999419241011852</v>
      </c>
      <c r="J103" s="10">
        <v>40</v>
      </c>
      <c r="K103" s="9">
        <v>41</v>
      </c>
      <c r="L103" s="13">
        <v>0.45079999999999998</v>
      </c>
      <c r="M103" s="10">
        <v>1</v>
      </c>
      <c r="N103" s="14">
        <f>Parameters!$B$2*I103</f>
        <v>25.499709620505925</v>
      </c>
      <c r="O103" s="14">
        <f>Parameters!$B$4*((Parameters!$B$9-M103)*L103+M103)</f>
        <v>14.897</v>
      </c>
      <c r="P103" s="14">
        <f t="shared" si="15"/>
        <v>40.396709620505924</v>
      </c>
      <c r="Q103" s="11">
        <f>(O103-Parameters!$B$4*M103)/P103</f>
        <v>0.30688142961294829</v>
      </c>
      <c r="R103" s="15">
        <f>IF(Parameters!$B$4*M103/P103&gt;Parameters!$B$18,0,Parameters!$B$16+(Parameters!$B$17-Parameters!$B$16)*(Q103-MIN(Q$2:Q$139))/(MAX(Q$2:Q$139)-MIN(Q$2:Q$139)))</f>
        <v>2.4548684315796154E-2</v>
      </c>
      <c r="S103" s="16">
        <f>ROUND(P103*(1-R103)/Parameters!$B$10,0)*Parameters!$B$10</f>
        <v>39.410000000000004</v>
      </c>
    </row>
    <row r="104" spans="1:19" x14ac:dyDescent="0.35">
      <c r="A104" s="8" t="s">
        <v>212</v>
      </c>
      <c r="B104" s="8" t="s">
        <v>103</v>
      </c>
      <c r="C104" s="9">
        <v>4.5</v>
      </c>
      <c r="D104" s="10">
        <v>-135</v>
      </c>
      <c r="E104" s="10">
        <v>105</v>
      </c>
      <c r="F104" s="11">
        <f t="shared" si="12"/>
        <v>0.57446808510638303</v>
      </c>
      <c r="G104" s="11">
        <f t="shared" si="13"/>
        <v>0.48780487804878048</v>
      </c>
      <c r="H104" s="11">
        <f t="shared" si="14"/>
        <v>0.54079140205178311</v>
      </c>
      <c r="I104" s="12">
        <f>C104+Parameters!$B$6*NORMSINV(H104)</f>
        <v>4.7253409454810624</v>
      </c>
      <c r="J104" s="10">
        <v>55</v>
      </c>
      <c r="K104" s="9">
        <v>48.75</v>
      </c>
      <c r="L104" s="13">
        <v>0.50670000000000004</v>
      </c>
      <c r="M104" s="10">
        <v>1</v>
      </c>
      <c r="N104" s="14">
        <f>Parameters!$B$2*I104</f>
        <v>23.626704727405311</v>
      </c>
      <c r="O104" s="14">
        <f>Parameters!$B$4*((Parameters!$B$9-M104)*L104+M104)</f>
        <v>16.434250000000002</v>
      </c>
      <c r="P104" s="14">
        <f t="shared" si="15"/>
        <v>40.060954727405317</v>
      </c>
      <c r="Q104" s="11">
        <f>(O104-Parameters!$B$4*M104)/P104</f>
        <v>0.3478262087065967</v>
      </c>
      <c r="R104" s="15">
        <f>IF(Parameters!$B$4*M104/P104&gt;Parameters!$B$18,0,Parameters!$B$16+(Parameters!$B$17-Parameters!$B$16)*(Q104-MIN(Q$2:Q$139))/(MAX(Q$2:Q$139)-MIN(Q$2:Q$139)))</f>
        <v>2.6757500749869469E-2</v>
      </c>
      <c r="S104" s="16">
        <f>ROUND(P104*(1-R104)/Parameters!$B$10,0)*Parameters!$B$10</f>
        <v>38.99</v>
      </c>
    </row>
    <row r="105" spans="1:19" x14ac:dyDescent="0.35">
      <c r="A105" s="8" t="s">
        <v>213</v>
      </c>
      <c r="B105" s="8" t="s">
        <v>143</v>
      </c>
      <c r="C105" s="9">
        <v>4.5</v>
      </c>
      <c r="D105" s="10">
        <v>-160</v>
      </c>
      <c r="E105" s="10">
        <v>125</v>
      </c>
      <c r="F105" s="11">
        <f t="shared" si="12"/>
        <v>0.61538461538461542</v>
      </c>
      <c r="G105" s="11">
        <f t="shared" si="13"/>
        <v>0.44444444444444442</v>
      </c>
      <c r="H105" s="11">
        <f t="shared" si="14"/>
        <v>0.58064516129032262</v>
      </c>
      <c r="I105" s="12">
        <f>C105+Parameters!$B$6*NORMSINV(H105)</f>
        <v>4.9477973093714702</v>
      </c>
      <c r="J105" s="10">
        <v>18</v>
      </c>
      <c r="K105" s="9">
        <v>27.29</v>
      </c>
      <c r="L105" s="13">
        <v>0.4612</v>
      </c>
      <c r="M105" s="10">
        <v>1</v>
      </c>
      <c r="N105" s="14">
        <f>Parameters!$B$2*I105</f>
        <v>24.738986546857351</v>
      </c>
      <c r="O105" s="14">
        <f>Parameters!$B$4*((Parameters!$B$9-M105)*L105+M105)</f>
        <v>15.183</v>
      </c>
      <c r="P105" s="14">
        <f t="shared" si="15"/>
        <v>39.921986546857354</v>
      </c>
      <c r="Q105" s="11">
        <f>(O105-Parameters!$B$4*M105)/P105</f>
        <v>0.31769461134188981</v>
      </c>
      <c r="R105" s="15">
        <f>IF(Parameters!$B$4*M105/P105&gt;Parameters!$B$18,0,Parameters!$B$16+(Parameters!$B$17-Parameters!$B$16)*(Q105-MIN(Q$2:Q$139))/(MAX(Q$2:Q$139)-MIN(Q$2:Q$139)))</f>
        <v>2.5132014694814183E-2</v>
      </c>
      <c r="S105" s="16">
        <f>ROUND(P105*(1-R105)/Parameters!$B$10,0)*Parameters!$B$10</f>
        <v>38.92</v>
      </c>
    </row>
    <row r="106" spans="1:19" x14ac:dyDescent="0.35">
      <c r="A106" s="8" t="s">
        <v>214</v>
      </c>
      <c r="B106" s="8" t="s">
        <v>117</v>
      </c>
      <c r="C106" s="9">
        <v>4.5</v>
      </c>
      <c r="D106" s="10">
        <v>-155</v>
      </c>
      <c r="E106" s="10">
        <v>120</v>
      </c>
      <c r="F106" s="11">
        <f t="shared" si="12"/>
        <v>0.60784313725490191</v>
      </c>
      <c r="G106" s="11">
        <f t="shared" si="13"/>
        <v>0.45454545454545453</v>
      </c>
      <c r="H106" s="11">
        <f t="shared" si="14"/>
        <v>0.57214765100671139</v>
      </c>
      <c r="I106" s="12">
        <f>C106+Parameters!$B$6*NORMSINV(H106)</f>
        <v>4.9000580758988148</v>
      </c>
      <c r="J106" s="10">
        <v>22</v>
      </c>
      <c r="K106" s="9">
        <v>29.53</v>
      </c>
      <c r="L106" s="13">
        <v>0.45960000000000001</v>
      </c>
      <c r="M106" s="10">
        <v>1</v>
      </c>
      <c r="N106" s="14">
        <f>Parameters!$B$2*I106</f>
        <v>24.500290379494075</v>
      </c>
      <c r="O106" s="14">
        <f>Parameters!$B$4*((Parameters!$B$9-M106)*L106+M106)</f>
        <v>15.138999999999999</v>
      </c>
      <c r="P106" s="14">
        <f t="shared" si="15"/>
        <v>39.639290379494071</v>
      </c>
      <c r="Q106" s="11">
        <f>(O106-Parameters!$B$4*M106)/P106</f>
        <v>0.31885030935211495</v>
      </c>
      <c r="R106" s="15">
        <f>IF(Parameters!$B$4*M106/P106&gt;Parameters!$B$18,0,Parameters!$B$16+(Parameters!$B$17-Parameters!$B$16)*(Q106-MIN(Q$2:Q$139))/(MAX(Q$2:Q$139)-MIN(Q$2:Q$139)))</f>
        <v>2.5194360244462224E-2</v>
      </c>
      <c r="S106" s="16">
        <f>ROUND(P106*(1-R106)/Parameters!$B$10,0)*Parameters!$B$10</f>
        <v>38.64</v>
      </c>
    </row>
    <row r="107" spans="1:19" x14ac:dyDescent="0.35">
      <c r="A107" s="8" t="s">
        <v>215</v>
      </c>
      <c r="B107" s="8" t="s">
        <v>117</v>
      </c>
      <c r="C107" s="9">
        <v>4.5</v>
      </c>
      <c r="D107" s="10">
        <v>-150</v>
      </c>
      <c r="E107" s="10">
        <v>115</v>
      </c>
      <c r="F107" s="11">
        <f t="shared" si="12"/>
        <v>0.6</v>
      </c>
      <c r="G107" s="11">
        <f t="shared" si="13"/>
        <v>0.46511627906976744</v>
      </c>
      <c r="H107" s="11">
        <f t="shared" si="14"/>
        <v>0.5633187772925764</v>
      </c>
      <c r="I107" s="12">
        <f>C107+Parameters!$B$6*NORMSINV(H107)</f>
        <v>4.8506556867269044</v>
      </c>
      <c r="J107" s="10">
        <v>24</v>
      </c>
      <c r="K107" s="9">
        <v>30.57</v>
      </c>
      <c r="L107" s="13">
        <v>0.46850000000000003</v>
      </c>
      <c r="M107" s="10">
        <v>1</v>
      </c>
      <c r="N107" s="14">
        <f>Parameters!$B$2*I107</f>
        <v>24.25327843363452</v>
      </c>
      <c r="O107" s="14">
        <f>Parameters!$B$4*((Parameters!$B$9-M107)*L107+M107)</f>
        <v>15.383750000000001</v>
      </c>
      <c r="P107" s="14">
        <f t="shared" si="15"/>
        <v>39.637028433634519</v>
      </c>
      <c r="Q107" s="11">
        <f>(O107-Parameters!$B$4*M107)/P107</f>
        <v>0.32504328677341832</v>
      </c>
      <c r="R107" s="15">
        <f>IF(Parameters!$B$4*M107/P107&gt;Parameters!$B$18,0,Parameters!$B$16+(Parameters!$B$17-Parameters!$B$16)*(Q107-MIN(Q$2:Q$139))/(MAX(Q$2:Q$139)-MIN(Q$2:Q$139)))</f>
        <v>2.5528448023339551E-2</v>
      </c>
      <c r="S107" s="16">
        <f>ROUND(P107*(1-R107)/Parameters!$B$10,0)*Parameters!$B$10</f>
        <v>38.630000000000003</v>
      </c>
    </row>
    <row r="108" spans="1:19" x14ac:dyDescent="0.35">
      <c r="A108" s="8" t="s">
        <v>216</v>
      </c>
      <c r="B108" s="8" t="s">
        <v>130</v>
      </c>
      <c r="C108" s="9">
        <v>4.5</v>
      </c>
      <c r="D108" s="10">
        <v>-155</v>
      </c>
      <c r="E108" s="10">
        <v>120</v>
      </c>
      <c r="F108" s="11">
        <f t="shared" si="12"/>
        <v>0.60784313725490191</v>
      </c>
      <c r="G108" s="11">
        <f t="shared" si="13"/>
        <v>0.45454545454545453</v>
      </c>
      <c r="H108" s="11">
        <f t="shared" si="14"/>
        <v>0.57214765100671139</v>
      </c>
      <c r="I108" s="12">
        <f>C108+Parameters!$B$6*NORMSINV(H108)</f>
        <v>4.9000580758988148</v>
      </c>
      <c r="J108" s="10">
        <v>20</v>
      </c>
      <c r="K108" s="9">
        <v>28.33</v>
      </c>
      <c r="L108" s="13">
        <v>0.45319999999999999</v>
      </c>
      <c r="M108" s="10">
        <v>1</v>
      </c>
      <c r="N108" s="14">
        <f>Parameters!$B$2*I108</f>
        <v>24.500290379494075</v>
      </c>
      <c r="O108" s="14">
        <f>Parameters!$B$4*((Parameters!$B$9-M108)*L108+M108)</f>
        <v>14.962999999999999</v>
      </c>
      <c r="P108" s="14">
        <f t="shared" si="15"/>
        <v>39.463290379494076</v>
      </c>
      <c r="Q108" s="11">
        <f>(O108-Parameters!$B$4*M108)/P108</f>
        <v>0.31581249004203732</v>
      </c>
      <c r="R108" s="15">
        <f>IF(Parameters!$B$4*M108/P108&gt;Parameters!$B$18,0,Parameters!$B$16+(Parameters!$B$17-Parameters!$B$16)*(Q108-MIN(Q$2:Q$139))/(MAX(Q$2:Q$139)-MIN(Q$2:Q$139)))</f>
        <v>2.5030481347949003E-2</v>
      </c>
      <c r="S108" s="16">
        <f>ROUND(P108*(1-R108)/Parameters!$B$10,0)*Parameters!$B$10</f>
        <v>38.480000000000004</v>
      </c>
    </row>
    <row r="109" spans="1:19" x14ac:dyDescent="0.35">
      <c r="A109" s="8" t="s">
        <v>217</v>
      </c>
      <c r="B109" s="8" t="s">
        <v>109</v>
      </c>
      <c r="C109" s="9">
        <v>4.5</v>
      </c>
      <c r="D109" s="10">
        <v>-155</v>
      </c>
      <c r="E109" s="10">
        <v>120</v>
      </c>
      <c r="F109" s="11">
        <f t="shared" si="12"/>
        <v>0.60784313725490191</v>
      </c>
      <c r="G109" s="11">
        <f t="shared" si="13"/>
        <v>0.45454545454545453</v>
      </c>
      <c r="H109" s="11">
        <f t="shared" si="14"/>
        <v>0.57214765100671139</v>
      </c>
      <c r="I109" s="12">
        <f>C109+Parameters!$B$6*NORMSINV(H109)</f>
        <v>4.9000580758988148</v>
      </c>
      <c r="J109" s="10">
        <v>55</v>
      </c>
      <c r="K109" s="9">
        <v>49.33</v>
      </c>
      <c r="L109" s="13">
        <v>0.44679999999999997</v>
      </c>
      <c r="M109" s="10">
        <v>1</v>
      </c>
      <c r="N109" s="14">
        <f>Parameters!$B$2*I109</f>
        <v>24.500290379494075</v>
      </c>
      <c r="O109" s="14">
        <f>Parameters!$B$4*((Parameters!$B$9-M109)*L109+M109)</f>
        <v>14.786999999999999</v>
      </c>
      <c r="P109" s="14">
        <f t="shared" si="15"/>
        <v>39.287290379494074</v>
      </c>
      <c r="Q109" s="11">
        <f>(O109-Parameters!$B$4*M109)/P109</f>
        <v>0.31274745296288425</v>
      </c>
      <c r="R109" s="15">
        <f>IF(Parameters!$B$4*M109/P109&gt;Parameters!$B$18,0,Parameters!$B$16+(Parameters!$B$17-Parameters!$B$16)*(Q109-MIN(Q$2:Q$139))/(MAX(Q$2:Q$139)-MIN(Q$2:Q$139)))</f>
        <v>2.4865134155429222E-2</v>
      </c>
      <c r="S109" s="16">
        <f>ROUND(P109*(1-R109)/Parameters!$B$10,0)*Parameters!$B$10</f>
        <v>38.31</v>
      </c>
    </row>
    <row r="110" spans="1:19" x14ac:dyDescent="0.35">
      <c r="A110" s="8" t="s">
        <v>218</v>
      </c>
      <c r="B110" s="8" t="s">
        <v>99</v>
      </c>
      <c r="C110" s="9">
        <v>4.5</v>
      </c>
      <c r="D110" s="10">
        <v>-145</v>
      </c>
      <c r="E110" s="10">
        <v>110</v>
      </c>
      <c r="F110" s="11">
        <f t="shared" si="12"/>
        <v>0.59183673469387754</v>
      </c>
      <c r="G110" s="11">
        <f t="shared" si="13"/>
        <v>0.47619047619047616</v>
      </c>
      <c r="H110" s="11">
        <f t="shared" si="14"/>
        <v>0.55414012738853502</v>
      </c>
      <c r="I110" s="12">
        <f>C110+Parameters!$B$6*NORMSINV(H110)</f>
        <v>4.7994825671783001</v>
      </c>
      <c r="J110" s="10">
        <v>44</v>
      </c>
      <c r="K110" s="9">
        <v>42.4</v>
      </c>
      <c r="L110" s="13">
        <v>0.45950000000000002</v>
      </c>
      <c r="M110" s="10">
        <v>1</v>
      </c>
      <c r="N110" s="14">
        <f>Parameters!$B$2*I110</f>
        <v>23.997412835891502</v>
      </c>
      <c r="O110" s="14">
        <f>Parameters!$B$4*((Parameters!$B$9-M110)*L110+M110)</f>
        <v>15.13625</v>
      </c>
      <c r="P110" s="14">
        <f t="shared" si="15"/>
        <v>39.133662835891499</v>
      </c>
      <c r="Q110" s="11">
        <f>(O110-Parameters!$B$4*M110)/P110</f>
        <v>0.32289975137238225</v>
      </c>
      <c r="R110" s="15">
        <f>IF(Parameters!$B$4*M110/P110&gt;Parameters!$B$18,0,Parameters!$B$16+(Parameters!$B$17-Parameters!$B$16)*(Q110-MIN(Q$2:Q$139))/(MAX(Q$2:Q$139)-MIN(Q$2:Q$139)))</f>
        <v>2.5412812371477876E-2</v>
      </c>
      <c r="S110" s="16">
        <f>ROUND(P110*(1-R110)/Parameters!$B$10,0)*Parameters!$B$10</f>
        <v>38.14</v>
      </c>
    </row>
    <row r="111" spans="1:19" x14ac:dyDescent="0.35">
      <c r="A111" s="8" t="s">
        <v>219</v>
      </c>
      <c r="B111" s="8" t="s">
        <v>130</v>
      </c>
      <c r="C111" s="9">
        <v>4.5</v>
      </c>
      <c r="D111" s="10">
        <v>-140</v>
      </c>
      <c r="E111" s="10">
        <v>110</v>
      </c>
      <c r="F111" s="11">
        <f t="shared" si="12"/>
        <v>0.58333333333333337</v>
      </c>
      <c r="G111" s="11">
        <f t="shared" si="13"/>
        <v>0.47619047619047616</v>
      </c>
      <c r="H111" s="11">
        <f t="shared" si="14"/>
        <v>0.550561797752809</v>
      </c>
      <c r="I111" s="12">
        <f>C111+Parameters!$B$6*NORMSINV(H111)</f>
        <v>4.7795778798890627</v>
      </c>
      <c r="J111" s="10">
        <v>22</v>
      </c>
      <c r="K111" s="9">
        <v>29.13</v>
      </c>
      <c r="L111" s="13">
        <v>0.46050000000000002</v>
      </c>
      <c r="M111" s="10">
        <v>1</v>
      </c>
      <c r="N111" s="14">
        <f>Parameters!$B$2*I111</f>
        <v>23.897889399445312</v>
      </c>
      <c r="O111" s="14">
        <f>Parameters!$B$4*((Parameters!$B$9-M111)*L111+M111)</f>
        <v>15.16375</v>
      </c>
      <c r="P111" s="14">
        <f t="shared" si="15"/>
        <v>39.061639399445312</v>
      </c>
      <c r="Q111" s="11">
        <f>(O111-Parameters!$B$4*M111)/P111</f>
        <v>0.32419914255262489</v>
      </c>
      <c r="R111" s="15">
        <f>IF(Parameters!$B$4*M111/P111&gt;Parameters!$B$18,0,Parameters!$B$16+(Parameters!$B$17-Parameters!$B$16)*(Q111-MIN(Q$2:Q$139))/(MAX(Q$2:Q$139)-MIN(Q$2:Q$139)))</f>
        <v>2.5482909625798026E-2</v>
      </c>
      <c r="S111" s="16">
        <f>ROUND(P111*(1-R111)/Parameters!$B$10,0)*Parameters!$B$10</f>
        <v>38.07</v>
      </c>
    </row>
    <row r="112" spans="1:19" x14ac:dyDescent="0.35">
      <c r="A112" s="8" t="s">
        <v>220</v>
      </c>
      <c r="B112" s="8" t="s">
        <v>107</v>
      </c>
      <c r="C112" s="9">
        <v>4.5</v>
      </c>
      <c r="D112" s="10">
        <v>-160</v>
      </c>
      <c r="E112" s="10">
        <v>125</v>
      </c>
      <c r="F112" s="11">
        <f t="shared" si="12"/>
        <v>0.61538461538461542</v>
      </c>
      <c r="G112" s="11">
        <f t="shared" si="13"/>
        <v>0.44444444444444442</v>
      </c>
      <c r="H112" s="11">
        <f t="shared" si="14"/>
        <v>0.58064516129032262</v>
      </c>
      <c r="I112" s="12">
        <f>C112+Parameters!$B$6*NORMSINV(H112)</f>
        <v>4.9477973093714702</v>
      </c>
      <c r="J112" s="10">
        <v>36</v>
      </c>
      <c r="K112" s="9">
        <v>38.090000000000003</v>
      </c>
      <c r="L112" s="13">
        <v>0.4073</v>
      </c>
      <c r="M112" s="10">
        <v>1</v>
      </c>
      <c r="N112" s="14">
        <f>Parameters!$B$2*I112</f>
        <v>24.738986546857351</v>
      </c>
      <c r="O112" s="14">
        <f>Parameters!$B$4*((Parameters!$B$9-M112)*L112+M112)</f>
        <v>13.700749999999999</v>
      </c>
      <c r="P112" s="14">
        <f t="shared" si="15"/>
        <v>38.439736546857347</v>
      </c>
      <c r="Q112" s="11">
        <f>(O112-Parameters!$B$4*M112)/P112</f>
        <v>0.29138467133734092</v>
      </c>
      <c r="R112" s="15">
        <f>IF(Parameters!$B$4*M112/P112&gt;Parameters!$B$18,0,Parameters!$B$16+(Parameters!$B$17-Parameters!$B$16)*(Q112-MIN(Q$2:Q$139))/(MAX(Q$2:Q$139)-MIN(Q$2:Q$139)))</f>
        <v>2.3712692643311273E-2</v>
      </c>
      <c r="S112" s="16">
        <f>ROUND(P112*(1-R112)/Parameters!$B$10,0)*Parameters!$B$10</f>
        <v>37.53</v>
      </c>
    </row>
    <row r="113" spans="1:19" x14ac:dyDescent="0.35">
      <c r="A113" s="8" t="s">
        <v>221</v>
      </c>
      <c r="B113" s="8" t="s">
        <v>103</v>
      </c>
      <c r="C113" s="9">
        <v>4.5</v>
      </c>
      <c r="D113" s="10">
        <v>-115</v>
      </c>
      <c r="E113" s="10">
        <v>-110</v>
      </c>
      <c r="F113" s="11">
        <f t="shared" si="12"/>
        <v>0.53488372093023251</v>
      </c>
      <c r="G113" s="11">
        <f t="shared" si="13"/>
        <v>0.52380952380952384</v>
      </c>
      <c r="H113" s="11">
        <f t="shared" si="14"/>
        <v>0.5052301255230125</v>
      </c>
      <c r="I113" s="12">
        <f>C113+Parameters!$B$6*NORMSINV(H113)</f>
        <v>4.5288427833700791</v>
      </c>
      <c r="J113" s="10">
        <v>38</v>
      </c>
      <c r="K113" s="9">
        <v>37.9</v>
      </c>
      <c r="L113" s="13">
        <v>0.442</v>
      </c>
      <c r="M113" s="10">
        <v>1</v>
      </c>
      <c r="N113" s="14">
        <f>Parameters!$B$2*I113</f>
        <v>22.644213916850397</v>
      </c>
      <c r="O113" s="14">
        <f>Parameters!$B$4*((Parameters!$B$9-M113)*L113+M113)</f>
        <v>14.655000000000001</v>
      </c>
      <c r="P113" s="14">
        <f t="shared" si="15"/>
        <v>37.299213916850398</v>
      </c>
      <c r="Q113" s="11">
        <f>(O113-Parameters!$B$4*M113)/P113</f>
        <v>0.32587818143022107</v>
      </c>
      <c r="R113" s="15">
        <f>IF(Parameters!$B$4*M113/P113&gt;Parameters!$B$18,0,Parameters!$B$16+(Parameters!$B$17-Parameters!$B$16)*(Q113-MIN(Q$2:Q$139))/(MAX(Q$2:Q$139)-MIN(Q$2:Q$139)))</f>
        <v>2.5573487441782818E-2</v>
      </c>
      <c r="S113" s="16">
        <f>ROUND(P113*(1-R113)/Parameters!$B$10,0)*Parameters!$B$10</f>
        <v>36.35</v>
      </c>
    </row>
    <row r="114" spans="1:19" x14ac:dyDescent="0.35">
      <c r="A114" s="8" t="s">
        <v>222</v>
      </c>
      <c r="B114" s="8" t="s">
        <v>143</v>
      </c>
      <c r="C114" s="9">
        <v>4.5</v>
      </c>
      <c r="D114" s="10">
        <v>-115</v>
      </c>
      <c r="E114" s="10">
        <v>-115</v>
      </c>
      <c r="F114" s="11">
        <f t="shared" si="12"/>
        <v>0.53488372093023251</v>
      </c>
      <c r="G114" s="11">
        <f t="shared" si="13"/>
        <v>0.53488372093023251</v>
      </c>
      <c r="H114" s="11">
        <f t="shared" si="14"/>
        <v>0.5</v>
      </c>
      <c r="I114" s="12">
        <f>C114+Parameters!$B$6*NORMSINV(H114)</f>
        <v>4.5</v>
      </c>
      <c r="J114" s="10">
        <v>16</v>
      </c>
      <c r="K114" s="9">
        <v>24.6</v>
      </c>
      <c r="L114" s="13">
        <v>0.4345</v>
      </c>
      <c r="M114" s="10">
        <v>1</v>
      </c>
      <c r="N114" s="14">
        <f>Parameters!$B$2*I114</f>
        <v>22.5</v>
      </c>
      <c r="O114" s="14">
        <f>Parameters!$B$4*((Parameters!$B$9-M114)*L114+M114)</f>
        <v>14.448749999999999</v>
      </c>
      <c r="P114" s="14">
        <f t="shared" si="15"/>
        <v>36.948749999999997</v>
      </c>
      <c r="Q114" s="11">
        <f>(O114-Parameters!$B$4*M114)/P114</f>
        <v>0.32338712405697079</v>
      </c>
      <c r="R114" s="15">
        <f>IF(Parameters!$B$4*M114/P114&gt;Parameters!$B$18,0,Parameters!$B$16+(Parameters!$B$17-Parameters!$B$16)*(Q114-MIN(Q$2:Q$139))/(MAX(Q$2:Q$139)-MIN(Q$2:Q$139)))</f>
        <v>2.543910428998537E-2</v>
      </c>
      <c r="S114" s="16">
        <f>ROUND(P114*(1-R114)/Parameters!$B$10,0)*Parameters!$B$10</f>
        <v>36.01</v>
      </c>
    </row>
    <row r="115" spans="1:19" x14ac:dyDescent="0.35">
      <c r="A115" s="8" t="s">
        <v>223</v>
      </c>
      <c r="B115" s="8" t="s">
        <v>109</v>
      </c>
      <c r="C115" s="9">
        <v>4.5</v>
      </c>
      <c r="D115" s="10">
        <v>-118</v>
      </c>
      <c r="E115" s="10">
        <v>-110</v>
      </c>
      <c r="F115" s="11">
        <f t="shared" si="12"/>
        <v>0.54128440366972475</v>
      </c>
      <c r="G115" s="11">
        <f t="shared" si="13"/>
        <v>0.52380952380952384</v>
      </c>
      <c r="H115" s="11">
        <f t="shared" si="14"/>
        <v>0.50820344544708773</v>
      </c>
      <c r="I115" s="12">
        <f>C115+Parameters!$B$6*NORMSINV(H115)</f>
        <v>4.5452417628340847</v>
      </c>
      <c r="J115" s="10">
        <v>48</v>
      </c>
      <c r="K115" s="9">
        <v>43.95</v>
      </c>
      <c r="L115" s="13">
        <v>0.41749999999999998</v>
      </c>
      <c r="M115" s="10">
        <v>1</v>
      </c>
      <c r="N115" s="14">
        <f>Parameters!$B$2*I115</f>
        <v>22.726208814170423</v>
      </c>
      <c r="O115" s="14">
        <f>Parameters!$B$4*((Parameters!$B$9-M115)*L115+M115)</f>
        <v>13.981249999999999</v>
      </c>
      <c r="P115" s="14">
        <f t="shared" si="15"/>
        <v>36.707458814170423</v>
      </c>
      <c r="Q115" s="11">
        <f>(O115-Parameters!$B$4*M115)/P115</f>
        <v>0.31277703145083463</v>
      </c>
      <c r="R115" s="15">
        <f>IF(Parameters!$B$4*M115/P115&gt;Parameters!$B$18,0,Parameters!$B$16+(Parameters!$B$17-Parameters!$B$16)*(Q115-MIN(Q$2:Q$139))/(MAX(Q$2:Q$139)-MIN(Q$2:Q$139)))</f>
        <v>2.4866729803317087E-2</v>
      </c>
      <c r="S115" s="16">
        <f>ROUND(P115*(1-R115)/Parameters!$B$10,0)*Parameters!$B$10</f>
        <v>35.79</v>
      </c>
    </row>
    <row r="116" spans="1:19" x14ac:dyDescent="0.35">
      <c r="A116" s="8" t="s">
        <v>224</v>
      </c>
      <c r="B116" s="8" t="s">
        <v>125</v>
      </c>
      <c r="C116" s="9">
        <v>4.5</v>
      </c>
      <c r="D116" s="10">
        <v>-105</v>
      </c>
      <c r="E116" s="10">
        <v>-125</v>
      </c>
      <c r="F116" s="11">
        <f t="shared" si="12"/>
        <v>0.51219512195121952</v>
      </c>
      <c r="G116" s="11">
        <f t="shared" si="13"/>
        <v>0.55555555555555558</v>
      </c>
      <c r="H116" s="11">
        <f t="shared" si="14"/>
        <v>0.47969543147208121</v>
      </c>
      <c r="I116" s="12">
        <f>C116+Parameters!$B$6*NORMSINV(H116)</f>
        <v>4.3879804020866224</v>
      </c>
      <c r="J116" s="10">
        <v>16</v>
      </c>
      <c r="K116" s="9">
        <v>24.23</v>
      </c>
      <c r="L116" s="13">
        <v>0.42780000000000001</v>
      </c>
      <c r="M116" s="10">
        <v>1</v>
      </c>
      <c r="N116" s="14">
        <f>Parameters!$B$2*I116</f>
        <v>21.939902010433112</v>
      </c>
      <c r="O116" s="14">
        <f>Parameters!$B$4*((Parameters!$B$9-M116)*L116+M116)</f>
        <v>14.2645</v>
      </c>
      <c r="P116" s="14">
        <f t="shared" si="15"/>
        <v>36.204402010433114</v>
      </c>
      <c r="Q116" s="11">
        <f>(O116-Parameters!$B$4*M116)/P116</f>
        <v>0.3249466735180378</v>
      </c>
      <c r="R116" s="15">
        <f>IF(Parameters!$B$4*M116/P116&gt;Parameters!$B$18,0,Parameters!$B$16+(Parameters!$B$17-Parameters!$B$16)*(Q116-MIN(Q$2:Q$139))/(MAX(Q$2:Q$139)-MIN(Q$2:Q$139)))</f>
        <v>2.5523236102529191E-2</v>
      </c>
      <c r="S116" s="16">
        <f>ROUND(P116*(1-R116)/Parameters!$B$10,0)*Parameters!$B$10</f>
        <v>35.28</v>
      </c>
    </row>
    <row r="117" spans="1:19" x14ac:dyDescent="0.35">
      <c r="A117" s="8" t="s">
        <v>225</v>
      </c>
      <c r="B117" s="8" t="s">
        <v>99</v>
      </c>
      <c r="C117" s="9">
        <v>4.5</v>
      </c>
      <c r="D117" s="10">
        <v>135</v>
      </c>
      <c r="E117" s="10">
        <v>-175</v>
      </c>
      <c r="F117" s="11">
        <f t="shared" si="12"/>
        <v>0.42553191489361702</v>
      </c>
      <c r="G117" s="11">
        <f t="shared" si="13"/>
        <v>0.63636363636363635</v>
      </c>
      <c r="H117" s="11">
        <f t="shared" si="14"/>
        <v>0.40072859744990891</v>
      </c>
      <c r="I117" s="12">
        <f>C117+Parameters!$B$6*NORMSINV(H117)</f>
        <v>3.9467843309344603</v>
      </c>
      <c r="J117" s="10">
        <v>62</v>
      </c>
      <c r="K117" s="9">
        <v>50.36</v>
      </c>
      <c r="L117" s="13">
        <v>0.50429999999999997</v>
      </c>
      <c r="M117" s="10">
        <v>1</v>
      </c>
      <c r="N117" s="14">
        <f>Parameters!$B$2*I117</f>
        <v>19.733921654672301</v>
      </c>
      <c r="O117" s="14">
        <f>Parameters!$B$4*((Parameters!$B$9-M117)*L117+M117)</f>
        <v>16.36825</v>
      </c>
      <c r="P117" s="14">
        <f t="shared" si="15"/>
        <v>36.102171654672304</v>
      </c>
      <c r="Q117" s="11">
        <f>(O117-Parameters!$B$4*M117)/P117</f>
        <v>0.38413894135382809</v>
      </c>
      <c r="R117" s="15">
        <f>IF(Parameters!$B$4*M117/P117&gt;Parameters!$B$18,0,Parameters!$B$16+(Parameters!$B$17-Parameters!$B$16)*(Q117-MIN(Q$2:Q$139))/(MAX(Q$2:Q$139)-MIN(Q$2:Q$139)))</f>
        <v>2.8716435745070296E-2</v>
      </c>
      <c r="S117" s="16">
        <f>ROUND(P117*(1-R117)/Parameters!$B$10,0)*Parameters!$B$10</f>
        <v>35.07</v>
      </c>
    </row>
    <row r="118" spans="1:19" x14ac:dyDescent="0.35">
      <c r="A118" s="8" t="s">
        <v>226</v>
      </c>
      <c r="B118" s="8" t="s">
        <v>107</v>
      </c>
      <c r="C118" s="9">
        <v>4.5</v>
      </c>
      <c r="D118" s="10">
        <v>120</v>
      </c>
      <c r="E118" s="10">
        <v>-155</v>
      </c>
      <c r="F118" s="11">
        <f t="shared" si="12"/>
        <v>0.45454545454545453</v>
      </c>
      <c r="G118" s="11">
        <f t="shared" si="13"/>
        <v>0.60784313725490191</v>
      </c>
      <c r="H118" s="11">
        <f t="shared" si="14"/>
        <v>0.42785234899328861</v>
      </c>
      <c r="I118" s="12">
        <f>C118+Parameters!$B$6*NORMSINV(H118)</f>
        <v>4.0999419241011852</v>
      </c>
      <c r="J118" s="10">
        <v>60</v>
      </c>
      <c r="K118" s="9">
        <v>49.67</v>
      </c>
      <c r="L118" s="13">
        <v>0.47399999999999998</v>
      </c>
      <c r="M118" s="10">
        <v>1</v>
      </c>
      <c r="N118" s="14">
        <f>Parameters!$B$2*I118</f>
        <v>20.499709620505925</v>
      </c>
      <c r="O118" s="14">
        <f>Parameters!$B$4*((Parameters!$B$9-M118)*L118+M118)</f>
        <v>15.534999999999998</v>
      </c>
      <c r="P118" s="14">
        <f t="shared" si="15"/>
        <v>36.034709620505922</v>
      </c>
      <c r="Q118" s="11">
        <f>(O118-Parameters!$B$4*M118)/P118</f>
        <v>0.36173456473705834</v>
      </c>
      <c r="R118" s="15">
        <f>IF(Parameters!$B$4*M118/P118&gt;Parameters!$B$18,0,Parameters!$B$16+(Parameters!$B$17-Parameters!$B$16)*(Q118-MIN(Q$2:Q$139))/(MAX(Q$2:Q$139)-MIN(Q$2:Q$139)))</f>
        <v>2.7507804110909993E-2</v>
      </c>
      <c r="S118" s="16">
        <f>ROUND(P118*(1-R118)/Parameters!$B$10,0)*Parameters!$B$10</f>
        <v>35.04</v>
      </c>
    </row>
    <row r="119" spans="1:19" x14ac:dyDescent="0.35">
      <c r="A119" s="8" t="s">
        <v>227</v>
      </c>
      <c r="B119" s="8" t="s">
        <v>130</v>
      </c>
      <c r="C119" s="9">
        <v>4.5</v>
      </c>
      <c r="D119" s="10">
        <v>110</v>
      </c>
      <c r="E119" s="10">
        <v>-145</v>
      </c>
      <c r="F119" s="11">
        <f t="shared" si="12"/>
        <v>0.47619047619047616</v>
      </c>
      <c r="G119" s="11">
        <f t="shared" si="13"/>
        <v>0.59183673469387754</v>
      </c>
      <c r="H119" s="11">
        <f t="shared" si="14"/>
        <v>0.44585987261146492</v>
      </c>
      <c r="I119" s="12">
        <f>C119+Parameters!$B$6*NORMSINV(H119)</f>
        <v>4.2005174328216999</v>
      </c>
      <c r="J119" s="10">
        <v>20</v>
      </c>
      <c r="K119" s="9">
        <v>26</v>
      </c>
      <c r="L119" s="13">
        <v>0.43080000000000002</v>
      </c>
      <c r="M119" s="10">
        <v>1</v>
      </c>
      <c r="N119" s="14">
        <f>Parameters!$B$2*I119</f>
        <v>21.002587164108498</v>
      </c>
      <c r="O119" s="14">
        <f>Parameters!$B$4*((Parameters!$B$9-M119)*L119+M119)</f>
        <v>14.347000000000001</v>
      </c>
      <c r="P119" s="14">
        <f t="shared" si="15"/>
        <v>35.349587164108499</v>
      </c>
      <c r="Q119" s="11">
        <f>(O119-Parameters!$B$4*M119)/P119</f>
        <v>0.33513828450105965</v>
      </c>
      <c r="R119" s="15">
        <f>IF(Parameters!$B$4*M119/P119&gt;Parameters!$B$18,0,Parameters!$B$16+(Parameters!$B$17-Parameters!$B$16)*(Q119-MIN(Q$2:Q$139))/(MAX(Q$2:Q$139)-MIN(Q$2:Q$139)))</f>
        <v>2.6073035083676283E-2</v>
      </c>
      <c r="S119" s="16">
        <f>ROUND(P119*(1-R119)/Parameters!$B$10,0)*Parameters!$B$10</f>
        <v>34.43</v>
      </c>
    </row>
    <row r="120" spans="1:19" x14ac:dyDescent="0.35">
      <c r="A120" s="8" t="s">
        <v>228</v>
      </c>
      <c r="B120" s="8" t="s">
        <v>109</v>
      </c>
      <c r="C120" s="9">
        <v>4.5</v>
      </c>
      <c r="D120" s="10">
        <v>135</v>
      </c>
      <c r="E120" s="10">
        <v>-175</v>
      </c>
      <c r="F120" s="11">
        <f t="shared" si="12"/>
        <v>0.42553191489361702</v>
      </c>
      <c r="G120" s="11">
        <f t="shared" si="13"/>
        <v>0.63636363636363635</v>
      </c>
      <c r="H120" s="11">
        <f t="shared" si="14"/>
        <v>0.40072859744990891</v>
      </c>
      <c r="I120" s="12">
        <f>C120+Parameters!$B$6*NORMSINV(H120)</f>
        <v>3.9467843309344603</v>
      </c>
      <c r="J120" s="10">
        <v>62</v>
      </c>
      <c r="K120" s="9">
        <v>50.36</v>
      </c>
      <c r="L120" s="13">
        <v>0.45200000000000001</v>
      </c>
      <c r="M120" s="10">
        <v>1</v>
      </c>
      <c r="N120" s="14">
        <f>Parameters!$B$2*I120</f>
        <v>19.733921654672301</v>
      </c>
      <c r="O120" s="14">
        <f>Parameters!$B$4*((Parameters!$B$9-M120)*L120+M120)</f>
        <v>14.930000000000001</v>
      </c>
      <c r="P120" s="14">
        <f t="shared" si="15"/>
        <v>34.663921654672301</v>
      </c>
      <c r="Q120" s="11">
        <f>(O120-Parameters!$B$4*M120)/P120</f>
        <v>0.35858608624349286</v>
      </c>
      <c r="R120" s="15">
        <f>IF(Parameters!$B$4*M120/P120&gt;Parameters!$B$18,0,Parameters!$B$16+(Parameters!$B$17-Parameters!$B$16)*(Q120-MIN(Q$2:Q$139))/(MAX(Q$2:Q$139)-MIN(Q$2:Q$139)))</f>
        <v>2.7337955568730594E-2</v>
      </c>
      <c r="S120" s="16">
        <f>ROUND(P120*(1-R120)/Parameters!$B$10,0)*Parameters!$B$10</f>
        <v>33.72</v>
      </c>
    </row>
    <row r="121" spans="1:19" x14ac:dyDescent="0.35">
      <c r="A121" s="8" t="s">
        <v>229</v>
      </c>
      <c r="B121" s="8" t="s">
        <v>133</v>
      </c>
      <c r="C121" s="9">
        <v>4.5</v>
      </c>
      <c r="D121" s="10">
        <v>150</v>
      </c>
      <c r="E121" s="10">
        <v>-190</v>
      </c>
      <c r="F121" s="11">
        <f t="shared" si="12"/>
        <v>0.4</v>
      </c>
      <c r="G121" s="11">
        <f t="shared" si="13"/>
        <v>0.65517241379310343</v>
      </c>
      <c r="H121" s="11">
        <f t="shared" si="14"/>
        <v>0.37908496732026142</v>
      </c>
      <c r="I121" s="12">
        <f>C121+Parameters!$B$6*NORMSINV(H121)</f>
        <v>3.8226532735829979</v>
      </c>
      <c r="J121" s="10">
        <v>34</v>
      </c>
      <c r="K121" s="9">
        <v>33.14</v>
      </c>
      <c r="L121" s="13">
        <v>0.46260000000000001</v>
      </c>
      <c r="M121" s="10">
        <v>1</v>
      </c>
      <c r="N121" s="14">
        <f>Parameters!$B$2*I121</f>
        <v>19.113266367914989</v>
      </c>
      <c r="O121" s="14">
        <f>Parameters!$B$4*((Parameters!$B$9-M121)*L121+M121)</f>
        <v>15.221500000000001</v>
      </c>
      <c r="P121" s="14">
        <f t="shared" si="15"/>
        <v>34.334766367914987</v>
      </c>
      <c r="Q121" s="11">
        <f>(O121-Parameters!$B$4*M121)/P121</f>
        <v>0.37051366139156072</v>
      </c>
      <c r="R121" s="15">
        <f>IF(Parameters!$B$4*M121/P121&gt;Parameters!$B$18,0,Parameters!$B$16+(Parameters!$B$17-Parameters!$B$16)*(Q121-MIN(Q$2:Q$139))/(MAX(Q$2:Q$139)-MIN(Q$2:Q$139)))</f>
        <v>2.7981403270461717E-2</v>
      </c>
      <c r="S121" s="16">
        <f>ROUND(P121*(1-R121)/Parameters!$B$10,0)*Parameters!$B$10</f>
        <v>33.369999999999997</v>
      </c>
    </row>
    <row r="122" spans="1:19" x14ac:dyDescent="0.35">
      <c r="A122" s="8" t="s">
        <v>230</v>
      </c>
      <c r="B122" s="8" t="s">
        <v>125</v>
      </c>
      <c r="C122" s="9">
        <v>3.5</v>
      </c>
      <c r="D122" s="10">
        <v>-160</v>
      </c>
      <c r="E122" s="10">
        <v>125</v>
      </c>
      <c r="F122" s="11">
        <f t="shared" si="12"/>
        <v>0.61538461538461542</v>
      </c>
      <c r="G122" s="11">
        <f t="shared" si="13"/>
        <v>0.44444444444444442</v>
      </c>
      <c r="H122" s="11">
        <f t="shared" si="14"/>
        <v>0.58064516129032262</v>
      </c>
      <c r="I122" s="12">
        <f>C122+Parameters!$B$6*NORMSINV(H122)</f>
        <v>3.9477973093714702</v>
      </c>
      <c r="J122" s="10">
        <v>18</v>
      </c>
      <c r="K122" s="9">
        <v>23.96</v>
      </c>
      <c r="L122" s="13">
        <v>0.4249</v>
      </c>
      <c r="M122" s="10">
        <v>1</v>
      </c>
      <c r="N122" s="14">
        <f>Parameters!$B$2*I122</f>
        <v>19.738986546857351</v>
      </c>
      <c r="O122" s="14">
        <f>Parameters!$B$4*((Parameters!$B$9-M122)*L122+M122)</f>
        <v>14.184749999999999</v>
      </c>
      <c r="P122" s="14">
        <f t="shared" si="15"/>
        <v>33.923736546857349</v>
      </c>
      <c r="Q122" s="11">
        <f>(O122-Parameters!$B$4*M122)/P122</f>
        <v>0.34444171513537059</v>
      </c>
      <c r="R122" s="15">
        <f>IF(Parameters!$B$4*M122/P122&gt;Parameters!$B$18,0,Parameters!$B$16+(Parameters!$B$17-Parameters!$B$16)*(Q122-MIN(Q$2:Q$139))/(MAX(Q$2:Q$139)-MIN(Q$2:Q$139)))</f>
        <v>2.6574920084235849E-2</v>
      </c>
      <c r="S122" s="16">
        <f>ROUND(P122*(1-R122)/Parameters!$B$10,0)*Parameters!$B$10</f>
        <v>33.020000000000003</v>
      </c>
    </row>
    <row r="123" spans="1:19" x14ac:dyDescent="0.35">
      <c r="A123" s="8" t="s">
        <v>231</v>
      </c>
      <c r="B123" s="8" t="s">
        <v>125</v>
      </c>
      <c r="C123" s="9">
        <v>4.5</v>
      </c>
      <c r="D123" s="10">
        <v>130</v>
      </c>
      <c r="E123" s="10">
        <v>-165</v>
      </c>
      <c r="F123" s="11">
        <f t="shared" si="12"/>
        <v>0.43478260869565216</v>
      </c>
      <c r="G123" s="11">
        <f t="shared" si="13"/>
        <v>0.62264150943396224</v>
      </c>
      <c r="H123" s="11">
        <f t="shared" si="14"/>
        <v>0.4111714507370054</v>
      </c>
      <c r="I123" s="12">
        <f>C123+Parameters!$B$6*NORMSINV(H123)</f>
        <v>4.0060282749437315</v>
      </c>
      <c r="J123" s="10">
        <v>15</v>
      </c>
      <c r="K123" s="9">
        <v>22.35</v>
      </c>
      <c r="L123" s="13">
        <v>0.40720000000000001</v>
      </c>
      <c r="M123" s="10">
        <v>1</v>
      </c>
      <c r="N123" s="14">
        <f>Parameters!$B$2*I123</f>
        <v>20.030141374718657</v>
      </c>
      <c r="O123" s="14">
        <f>Parameters!$B$4*((Parameters!$B$9-M123)*L123+M123)</f>
        <v>13.698</v>
      </c>
      <c r="P123" s="14">
        <f t="shared" si="15"/>
        <v>33.72814137471866</v>
      </c>
      <c r="Q123" s="11">
        <f>(O123-Parameters!$B$4*M123)/P123</f>
        <v>0.33200762163531483</v>
      </c>
      <c r="R123" s="15">
        <f>IF(Parameters!$B$4*M123/P123&gt;Parameters!$B$18,0,Parameters!$B$16+(Parameters!$B$17-Parameters!$B$16)*(Q123-MIN(Q$2:Q$139))/(MAX(Q$2:Q$139)-MIN(Q$2:Q$139)))</f>
        <v>2.5904147627437132E-2</v>
      </c>
      <c r="S123" s="16">
        <f>ROUND(P123*(1-R123)/Parameters!$B$10,0)*Parameters!$B$10</f>
        <v>32.85</v>
      </c>
    </row>
    <row r="124" spans="1:19" x14ac:dyDescent="0.35">
      <c r="A124" s="8" t="s">
        <v>232</v>
      </c>
      <c r="B124" s="8" t="s">
        <v>133</v>
      </c>
      <c r="C124" s="9">
        <v>3.5</v>
      </c>
      <c r="D124" s="10">
        <v>-150</v>
      </c>
      <c r="E124" s="10">
        <v>115</v>
      </c>
      <c r="F124" s="11">
        <f t="shared" si="12"/>
        <v>0.6</v>
      </c>
      <c r="G124" s="11">
        <f t="shared" si="13"/>
        <v>0.46511627906976744</v>
      </c>
      <c r="H124" s="11">
        <f t="shared" si="14"/>
        <v>0.5633187772925764</v>
      </c>
      <c r="I124" s="12">
        <f>C124+Parameters!$B$6*NORMSINV(H124)</f>
        <v>3.8506556867269039</v>
      </c>
      <c r="J124" s="10">
        <v>24</v>
      </c>
      <c r="K124" s="9">
        <v>27.24</v>
      </c>
      <c r="L124" s="13">
        <v>0.40910000000000002</v>
      </c>
      <c r="M124" s="10">
        <v>1</v>
      </c>
      <c r="N124" s="14">
        <f>Parameters!$B$2*I124</f>
        <v>19.25327843363452</v>
      </c>
      <c r="O124" s="14">
        <f>Parameters!$B$4*((Parameters!$B$9-M124)*L124+M124)</f>
        <v>13.750249999999999</v>
      </c>
      <c r="P124" s="14">
        <f t="shared" si="15"/>
        <v>33.003528433634521</v>
      </c>
      <c r="Q124" s="11">
        <f>(O124-Parameters!$B$4*M124)/P124</f>
        <v>0.34088021899302912</v>
      </c>
      <c r="R124" s="15">
        <f>IF(Parameters!$B$4*M124/P124&gt;Parameters!$B$18,0,Parameters!$B$16+(Parameters!$B$17-Parameters!$B$16)*(Q124-MIN(Q$2:Q$139))/(MAX(Q$2:Q$139)-MIN(Q$2:Q$139)))</f>
        <v>2.6382790797346796E-2</v>
      </c>
      <c r="S124" s="16">
        <f>ROUND(P124*(1-R124)/Parameters!$B$10,0)*Parameters!$B$10</f>
        <v>32.130000000000003</v>
      </c>
    </row>
    <row r="125" spans="1:19" x14ac:dyDescent="0.35">
      <c r="A125" s="8" t="s">
        <v>233</v>
      </c>
      <c r="B125" s="8" t="s">
        <v>103</v>
      </c>
      <c r="C125" s="9">
        <v>3.5</v>
      </c>
      <c r="D125" s="10">
        <v>-125</v>
      </c>
      <c r="E125" s="10">
        <v>100</v>
      </c>
      <c r="F125" s="11">
        <f t="shared" si="12"/>
        <v>0.55555555555555558</v>
      </c>
      <c r="G125" s="11">
        <f t="shared" si="13"/>
        <v>0.5</v>
      </c>
      <c r="H125" s="11">
        <f t="shared" si="14"/>
        <v>0.52631578947368418</v>
      </c>
      <c r="I125" s="12">
        <f>C125+Parameters!$B$6*NORMSINV(H125)</f>
        <v>3.6452259872268491</v>
      </c>
      <c r="J125" s="10">
        <v>40</v>
      </c>
      <c r="K125" s="9">
        <v>36.15</v>
      </c>
      <c r="L125" s="13">
        <v>0.43</v>
      </c>
      <c r="M125" s="10">
        <v>1</v>
      </c>
      <c r="N125" s="14">
        <f>Parameters!$B$2*I125</f>
        <v>18.226129936134246</v>
      </c>
      <c r="O125" s="14">
        <f>Parameters!$B$4*((Parameters!$B$9-M125)*L125+M125)</f>
        <v>14.324999999999999</v>
      </c>
      <c r="P125" s="14">
        <f t="shared" si="15"/>
        <v>32.551129936134245</v>
      </c>
      <c r="Q125" s="11">
        <f>(O125-Parameters!$B$4*M125)/P125</f>
        <v>0.36327463971913748</v>
      </c>
      <c r="R125" s="15">
        <f>IF(Parameters!$B$4*M125/P125&gt;Parameters!$B$18,0,Parameters!$B$16+(Parameters!$B$17-Parameters!$B$16)*(Q125-MIN(Q$2:Q$139))/(MAX(Q$2:Q$139)-MIN(Q$2:Q$139)))</f>
        <v>2.7590885348748428E-2</v>
      </c>
      <c r="S125" s="16">
        <f>ROUND(P125*(1-R125)/Parameters!$B$10,0)*Parameters!$B$10</f>
        <v>31.650000000000002</v>
      </c>
    </row>
    <row r="126" spans="1:19" x14ac:dyDescent="0.35">
      <c r="A126" s="8" t="s">
        <v>234</v>
      </c>
      <c r="B126" s="8" t="s">
        <v>117</v>
      </c>
      <c r="C126" s="9">
        <v>4.5</v>
      </c>
      <c r="D126" s="10">
        <v>150</v>
      </c>
      <c r="E126" s="10">
        <v>-200</v>
      </c>
      <c r="F126" s="11">
        <f t="shared" si="12"/>
        <v>0.4</v>
      </c>
      <c r="G126" s="11">
        <f t="shared" si="13"/>
        <v>0.66666666666666663</v>
      </c>
      <c r="H126" s="11">
        <f t="shared" si="14"/>
        <v>0.375</v>
      </c>
      <c r="I126" s="12">
        <f>C126+Parameters!$B$6*NORMSINV(H126)</f>
        <v>3.7989933992783746</v>
      </c>
      <c r="J126" s="10">
        <v>18</v>
      </c>
      <c r="K126" s="9">
        <v>23.46</v>
      </c>
      <c r="L126" s="13">
        <v>0.40079999999999999</v>
      </c>
      <c r="M126" s="10">
        <v>1</v>
      </c>
      <c r="N126" s="14">
        <f>Parameters!$B$2*I126</f>
        <v>18.994966996391874</v>
      </c>
      <c r="O126" s="14">
        <f>Parameters!$B$4*((Parameters!$B$9-M126)*L126+M126)</f>
        <v>13.522</v>
      </c>
      <c r="P126" s="14">
        <f t="shared" si="15"/>
        <v>32.516966996391872</v>
      </c>
      <c r="Q126" s="11">
        <f>(O126-Parameters!$B$4*M126)/P126</f>
        <v>0.3389615028124553</v>
      </c>
      <c r="R126" s="15">
        <f>IF(Parameters!$B$4*M126/P126&gt;Parameters!$B$18,0,Parameters!$B$16+(Parameters!$B$17-Parameters!$B$16)*(Q126-MIN(Q$2:Q$139))/(MAX(Q$2:Q$139)-MIN(Q$2:Q$139)))</f>
        <v>2.6279283294661768E-2</v>
      </c>
      <c r="S126" s="16">
        <f>ROUND(P126*(1-R126)/Parameters!$B$10,0)*Parameters!$B$10</f>
        <v>31.66</v>
      </c>
    </row>
    <row r="127" spans="1:19" x14ac:dyDescent="0.35">
      <c r="A127" s="8" t="s">
        <v>235</v>
      </c>
      <c r="B127" s="8" t="s">
        <v>117</v>
      </c>
      <c r="C127" s="9">
        <v>3.5</v>
      </c>
      <c r="D127" s="10">
        <v>-135</v>
      </c>
      <c r="E127" s="10">
        <v>105</v>
      </c>
      <c r="F127" s="11">
        <f t="shared" si="12"/>
        <v>0.57446808510638303</v>
      </c>
      <c r="G127" s="11">
        <f t="shared" si="13"/>
        <v>0.48780487804878048</v>
      </c>
      <c r="H127" s="11">
        <f t="shared" si="14"/>
        <v>0.54079140205178311</v>
      </c>
      <c r="I127" s="12">
        <f>C127+Parameters!$B$6*NORMSINV(H127)</f>
        <v>3.7253409454810624</v>
      </c>
      <c r="J127" s="10">
        <v>20</v>
      </c>
      <c r="K127" s="9">
        <v>24.42</v>
      </c>
      <c r="L127" s="13">
        <v>0.41089999999999999</v>
      </c>
      <c r="M127" s="10">
        <v>1</v>
      </c>
      <c r="N127" s="14">
        <f>Parameters!$B$2*I127</f>
        <v>18.626704727405311</v>
      </c>
      <c r="O127" s="14">
        <f>Parameters!$B$4*((Parameters!$B$9-M127)*L127+M127)</f>
        <v>13.79975</v>
      </c>
      <c r="P127" s="14">
        <f t="shared" si="15"/>
        <v>32.426454727405314</v>
      </c>
      <c r="Q127" s="11">
        <f>(O127-Parameters!$B$4*M127)/P127</f>
        <v>0.34847318632246227</v>
      </c>
      <c r="R127" s="15">
        <f>IF(Parameters!$B$4*M127/P127&gt;Parameters!$B$18,0,Parameters!$B$16+(Parameters!$B$17-Parameters!$B$16)*(Q127-MIN(Q$2:Q$139))/(MAX(Q$2:Q$139)-MIN(Q$2:Q$139)))</f>
        <v>2.6792402752567612E-2</v>
      </c>
      <c r="S127" s="16">
        <f>ROUND(P127*(1-R127)/Parameters!$B$10,0)*Parameters!$B$10</f>
        <v>31.560000000000002</v>
      </c>
    </row>
    <row r="128" spans="1:19" x14ac:dyDescent="0.35">
      <c r="A128" s="8" t="s">
        <v>236</v>
      </c>
      <c r="B128" s="8" t="s">
        <v>143</v>
      </c>
      <c r="C128" s="9">
        <v>3.5</v>
      </c>
      <c r="D128" s="10">
        <v>-125</v>
      </c>
      <c r="E128" s="10">
        <v>-105</v>
      </c>
      <c r="F128" s="11">
        <f t="shared" si="12"/>
        <v>0.55555555555555558</v>
      </c>
      <c r="G128" s="11">
        <f t="shared" si="13"/>
        <v>0.51219512195121952</v>
      </c>
      <c r="H128" s="11">
        <f t="shared" si="14"/>
        <v>0.52030456852791884</v>
      </c>
      <c r="I128" s="12">
        <f>C128+Parameters!$B$6*NORMSINV(H128)</f>
        <v>3.6120195979133776</v>
      </c>
      <c r="J128" s="10">
        <v>16</v>
      </c>
      <c r="K128" s="9">
        <v>21.64</v>
      </c>
      <c r="L128" s="13">
        <v>0.40200000000000002</v>
      </c>
      <c r="M128" s="10">
        <v>1</v>
      </c>
      <c r="N128" s="14">
        <f>Parameters!$B$2*I128</f>
        <v>18.060097989566888</v>
      </c>
      <c r="O128" s="14">
        <f>Parameters!$B$4*((Parameters!$B$9-M128)*L128+M128)</f>
        <v>13.555000000000001</v>
      </c>
      <c r="P128" s="14">
        <f t="shared" si="15"/>
        <v>31.615097989566891</v>
      </c>
      <c r="Q128" s="11">
        <f>(O128-Parameters!$B$4*M128)/P128</f>
        <v>0.34967470300576631</v>
      </c>
      <c r="R128" s="15">
        <f>IF(Parameters!$B$4*M128/P128&gt;Parameters!$B$18,0,Parameters!$B$16+(Parameters!$B$17-Parameters!$B$16)*(Q128-MIN(Q$2:Q$139))/(MAX(Q$2:Q$139)-MIN(Q$2:Q$139)))</f>
        <v>2.6857220046851336E-2</v>
      </c>
      <c r="S128" s="16">
        <f>ROUND(P128*(1-R128)/Parameters!$B$10,0)*Parameters!$B$10</f>
        <v>30.77</v>
      </c>
    </row>
    <row r="129" spans="1:19" x14ac:dyDescent="0.35">
      <c r="A129" s="8" t="s">
        <v>237</v>
      </c>
      <c r="B129" s="8" t="s">
        <v>117</v>
      </c>
      <c r="C129" s="9">
        <v>3.5</v>
      </c>
      <c r="D129" s="10">
        <v>-125</v>
      </c>
      <c r="E129" s="10">
        <v>-105</v>
      </c>
      <c r="F129" s="11">
        <f t="shared" si="12"/>
        <v>0.55555555555555558</v>
      </c>
      <c r="G129" s="11">
        <f t="shared" si="13"/>
        <v>0.51219512195121952</v>
      </c>
      <c r="H129" s="11">
        <f t="shared" si="14"/>
        <v>0.52030456852791884</v>
      </c>
      <c r="I129" s="12">
        <f>C129+Parameters!$B$6*NORMSINV(H129)</f>
        <v>3.6120195979133776</v>
      </c>
      <c r="J129" s="10">
        <v>15</v>
      </c>
      <c r="K129" s="9">
        <v>21.04</v>
      </c>
      <c r="L129" s="13">
        <v>0.37380000000000002</v>
      </c>
      <c r="M129" s="10">
        <v>1</v>
      </c>
      <c r="N129" s="14">
        <f>Parameters!$B$2*I129</f>
        <v>18.060097989566888</v>
      </c>
      <c r="O129" s="14">
        <f>Parameters!$B$4*((Parameters!$B$9-M129)*L129+M129)</f>
        <v>12.779500000000002</v>
      </c>
      <c r="P129" s="14">
        <f t="shared" si="15"/>
        <v>30.83959798956689</v>
      </c>
      <c r="Q129" s="11">
        <f>(O129-Parameters!$B$4*M129)/P129</f>
        <v>0.33332146558711895</v>
      </c>
      <c r="R129" s="15">
        <f>IF(Parameters!$B$4*M129/P129&gt;Parameters!$B$18,0,Parameters!$B$16+(Parameters!$B$17-Parameters!$B$16)*(Q129-MIN(Q$2:Q$139))/(MAX(Q$2:Q$139)-MIN(Q$2:Q$139)))</f>
        <v>2.5975024554283292E-2</v>
      </c>
      <c r="S129" s="16">
        <f>ROUND(P129*(1-R129)/Parameters!$B$10,0)*Parameters!$B$10</f>
        <v>30.04</v>
      </c>
    </row>
    <row r="130" spans="1:19" x14ac:dyDescent="0.35">
      <c r="A130" s="8" t="s">
        <v>238</v>
      </c>
      <c r="B130" s="8" t="s">
        <v>122</v>
      </c>
      <c r="C130" s="9">
        <v>3.5</v>
      </c>
      <c r="D130" s="10">
        <v>-115</v>
      </c>
      <c r="E130" s="10">
        <v>-115</v>
      </c>
      <c r="F130" s="11">
        <f t="shared" ref="F130:F139" si="16">IF(D130&gt;0,100/(D130+100),-D130/(-D130+100))</f>
        <v>0.53488372093023251</v>
      </c>
      <c r="G130" s="11">
        <f t="shared" ref="G130:G139" si="17">IF(E130&gt;0,100/(E130+100),-E130/(-E130+100))</f>
        <v>0.53488372093023251</v>
      </c>
      <c r="H130" s="11">
        <f t="shared" ref="H130:H161" si="18">F130/(F130+G130)</f>
        <v>0.5</v>
      </c>
      <c r="I130" s="12">
        <f>C130+Parameters!$B$6*NORMSINV(H130)</f>
        <v>3.5</v>
      </c>
      <c r="J130" s="10">
        <v>20</v>
      </c>
      <c r="K130" s="9">
        <v>23.67</v>
      </c>
      <c r="L130" s="13">
        <v>0.3931</v>
      </c>
      <c r="M130" s="10">
        <v>1</v>
      </c>
      <c r="N130" s="14">
        <f>Parameters!$B$2*I130</f>
        <v>17.5</v>
      </c>
      <c r="O130" s="14">
        <f>Parameters!$B$4*((Parameters!$B$9-M130)*L130+M130)</f>
        <v>13.31025</v>
      </c>
      <c r="P130" s="14">
        <f t="shared" ref="P130:P161" si="19">N130+O130</f>
        <v>30.81025</v>
      </c>
      <c r="Q130" s="11">
        <f>(O130-Parameters!$B$4*M130)/P130</f>
        <v>0.35086537759349568</v>
      </c>
      <c r="R130" s="15">
        <f>IF(Parameters!$B$4*M130/P130&gt;Parameters!$B$18,0,Parameters!$B$16+(Parameters!$B$17-Parameters!$B$16)*(Q130-MIN(Q$2:Q$139))/(MAX(Q$2:Q$139)-MIN(Q$2:Q$139)))</f>
        <v>2.6921452450963106E-2</v>
      </c>
      <c r="S130" s="16">
        <f>ROUND(P130*(1-R130)/Parameters!$B$10,0)*Parameters!$B$10</f>
        <v>29.98</v>
      </c>
    </row>
    <row r="131" spans="1:19" x14ac:dyDescent="0.35">
      <c r="A131" s="8" t="s">
        <v>239</v>
      </c>
      <c r="B131" s="8" t="s">
        <v>130</v>
      </c>
      <c r="C131" s="9">
        <v>3.5</v>
      </c>
      <c r="D131" s="10">
        <v>100</v>
      </c>
      <c r="E131" s="10">
        <v>-125</v>
      </c>
      <c r="F131" s="11">
        <f t="shared" si="16"/>
        <v>0.5</v>
      </c>
      <c r="G131" s="11">
        <f t="shared" si="17"/>
        <v>0.55555555555555558</v>
      </c>
      <c r="H131" s="11">
        <f t="shared" si="18"/>
        <v>0.47368421052631576</v>
      </c>
      <c r="I131" s="12">
        <f>C131+Parameters!$B$6*NORMSINV(H131)</f>
        <v>3.3547740127731505</v>
      </c>
      <c r="J131" s="10">
        <v>22</v>
      </c>
      <c r="K131" s="9">
        <v>24.38</v>
      </c>
      <c r="L131" s="13">
        <v>0.41410000000000002</v>
      </c>
      <c r="M131" s="10">
        <v>1</v>
      </c>
      <c r="N131" s="14">
        <f>Parameters!$B$2*I131</f>
        <v>16.773870063865751</v>
      </c>
      <c r="O131" s="14">
        <f>Parameters!$B$4*((Parameters!$B$9-M131)*L131+M131)</f>
        <v>13.88775</v>
      </c>
      <c r="P131" s="14">
        <f t="shared" si="19"/>
        <v>30.661620063865751</v>
      </c>
      <c r="Q131" s="11">
        <f>(O131-Parameters!$B$4*M131)/P131</f>
        <v>0.37140079279177712</v>
      </c>
      <c r="R131" s="15">
        <f>IF(Parameters!$B$4*M131/P131&gt;Parameters!$B$18,0,Parameters!$B$16+(Parameters!$B$17-Parameters!$B$16)*(Q131-MIN(Q$2:Q$139))/(MAX(Q$2:Q$139)-MIN(Q$2:Q$139)))</f>
        <v>2.8029260664233432E-2</v>
      </c>
      <c r="S131" s="16">
        <f>ROUND(P131*(1-R131)/Parameters!$B$10,0)*Parameters!$B$10</f>
        <v>29.8</v>
      </c>
    </row>
    <row r="132" spans="1:19" x14ac:dyDescent="0.35">
      <c r="A132" s="8" t="s">
        <v>240</v>
      </c>
      <c r="B132" s="8" t="s">
        <v>122</v>
      </c>
      <c r="C132" s="9">
        <v>3.5</v>
      </c>
      <c r="D132" s="10">
        <v>-115</v>
      </c>
      <c r="E132" s="10">
        <v>-115</v>
      </c>
      <c r="F132" s="11">
        <f t="shared" si="16"/>
        <v>0.53488372093023251</v>
      </c>
      <c r="G132" s="11">
        <f t="shared" si="17"/>
        <v>0.53488372093023251</v>
      </c>
      <c r="H132" s="11">
        <f t="shared" si="18"/>
        <v>0.5</v>
      </c>
      <c r="I132" s="12">
        <f>C132+Parameters!$B$6*NORMSINV(H132)</f>
        <v>3.5</v>
      </c>
      <c r="J132" s="10">
        <v>18</v>
      </c>
      <c r="K132" s="9">
        <v>22.47</v>
      </c>
      <c r="L132" s="13">
        <v>0.38030000000000003</v>
      </c>
      <c r="M132" s="10">
        <v>1</v>
      </c>
      <c r="N132" s="14">
        <f>Parameters!$B$2*I132</f>
        <v>17.5</v>
      </c>
      <c r="O132" s="14">
        <f>Parameters!$B$4*((Parameters!$B$9-M132)*L132+M132)</f>
        <v>12.95825</v>
      </c>
      <c r="P132" s="14">
        <f t="shared" si="19"/>
        <v>30.45825</v>
      </c>
      <c r="Q132" s="11">
        <f>(O132-Parameters!$B$4*M132)/P132</f>
        <v>0.3433634565347648</v>
      </c>
      <c r="R132" s="15">
        <f>IF(Parameters!$B$4*M132/P132&gt;Parameters!$B$18,0,Parameters!$B$16+(Parameters!$B$17-Parameters!$B$16)*(Q132-MIN(Q$2:Q$139))/(MAX(Q$2:Q$139)-MIN(Q$2:Q$139)))</f>
        <v>2.6516752098721709E-2</v>
      </c>
      <c r="S132" s="16">
        <f>ROUND(P132*(1-R132)/Parameters!$B$10,0)*Parameters!$B$10</f>
        <v>29.650000000000002</v>
      </c>
    </row>
    <row r="133" spans="1:19" x14ac:dyDescent="0.35">
      <c r="A133" s="8" t="s">
        <v>241</v>
      </c>
      <c r="B133" s="8" t="s">
        <v>143</v>
      </c>
      <c r="C133" s="9">
        <v>3.5</v>
      </c>
      <c r="D133" s="10">
        <v>-105</v>
      </c>
      <c r="E133" s="10">
        <v>-125</v>
      </c>
      <c r="F133" s="11">
        <f t="shared" si="16"/>
        <v>0.51219512195121952</v>
      </c>
      <c r="G133" s="11">
        <f t="shared" si="17"/>
        <v>0.55555555555555558</v>
      </c>
      <c r="H133" s="11">
        <f t="shared" si="18"/>
        <v>0.47969543147208121</v>
      </c>
      <c r="I133" s="12">
        <f>C133+Parameters!$B$6*NORMSINV(H133)</f>
        <v>3.3879804020866229</v>
      </c>
      <c r="J133" s="10">
        <v>15</v>
      </c>
      <c r="K133" s="9">
        <v>20.29</v>
      </c>
      <c r="L133" s="13">
        <v>0.38600000000000001</v>
      </c>
      <c r="M133" s="10">
        <v>1</v>
      </c>
      <c r="N133" s="14">
        <f>Parameters!$B$2*I133</f>
        <v>16.939902010433116</v>
      </c>
      <c r="O133" s="14">
        <f>Parameters!$B$4*((Parameters!$B$9-M133)*L133+M133)</f>
        <v>13.115000000000002</v>
      </c>
      <c r="P133" s="14">
        <f t="shared" si="19"/>
        <v>30.054902010433118</v>
      </c>
      <c r="Q133" s="11">
        <f>(O133-Parameters!$B$4*M133)/P133</f>
        <v>0.3531869774958894</v>
      </c>
      <c r="R133" s="15">
        <f>IF(Parameters!$B$4*M133/P133&gt;Parameters!$B$18,0,Parameters!$B$16+(Parameters!$B$17-Parameters!$B$16)*(Q133-MIN(Q$2:Q$139))/(MAX(Q$2:Q$139)-MIN(Q$2:Q$139)))</f>
        <v>2.7046694011212374E-2</v>
      </c>
      <c r="S133" s="16">
        <f>ROUND(P133*(1-R133)/Parameters!$B$10,0)*Parameters!$B$10</f>
        <v>29.240000000000002</v>
      </c>
    </row>
    <row r="134" spans="1:19" x14ac:dyDescent="0.35">
      <c r="A134" s="8" t="s">
        <v>242</v>
      </c>
      <c r="B134" s="8" t="s">
        <v>107</v>
      </c>
      <c r="C134" s="9">
        <v>3.5</v>
      </c>
      <c r="D134" s="10">
        <v>115</v>
      </c>
      <c r="E134" s="10">
        <v>-145</v>
      </c>
      <c r="F134" s="11">
        <f t="shared" si="16"/>
        <v>0.46511627906976744</v>
      </c>
      <c r="G134" s="11">
        <f t="shared" si="17"/>
        <v>0.59183673469387754</v>
      </c>
      <c r="H134" s="11">
        <f t="shared" si="18"/>
        <v>0.44005388414907948</v>
      </c>
      <c r="I134" s="12">
        <f>C134+Parameters!$B$6*NORMSINV(H134)</f>
        <v>3.1681682770075357</v>
      </c>
      <c r="J134" s="10">
        <v>40</v>
      </c>
      <c r="K134" s="9">
        <v>34.56</v>
      </c>
      <c r="L134" s="13">
        <v>0.38340000000000002</v>
      </c>
      <c r="M134" s="10">
        <v>1</v>
      </c>
      <c r="N134" s="14">
        <f>Parameters!$B$2*I134</f>
        <v>15.840841385037677</v>
      </c>
      <c r="O134" s="14">
        <f>Parameters!$B$4*((Parameters!$B$9-M134)*L134+M134)</f>
        <v>13.043500000000002</v>
      </c>
      <c r="P134" s="14">
        <f t="shared" si="19"/>
        <v>28.884341385037679</v>
      </c>
      <c r="Q134" s="11">
        <f>(O134-Parameters!$B$4*M134)/P134</f>
        <v>0.36502476755317742</v>
      </c>
      <c r="R134" s="15">
        <f>IF(Parameters!$B$4*M134/P134&gt;Parameters!$B$18,0,Parameters!$B$16+(Parameters!$B$17-Parameters!$B$16)*(Q134-MIN(Q$2:Q$139))/(MAX(Q$2:Q$139)-MIN(Q$2:Q$139)))</f>
        <v>2.7685298145865123E-2</v>
      </c>
      <c r="S134" s="16">
        <f>ROUND(P134*(1-R134)/Parameters!$B$10,0)*Parameters!$B$10</f>
        <v>28.080000000000002</v>
      </c>
    </row>
    <row r="135" spans="1:19" x14ac:dyDescent="0.35">
      <c r="A135" s="8" t="s">
        <v>243</v>
      </c>
      <c r="B135" s="8" t="s">
        <v>130</v>
      </c>
      <c r="C135" s="9">
        <v>3.5</v>
      </c>
      <c r="D135" s="10">
        <v>110</v>
      </c>
      <c r="E135" s="10">
        <v>-140</v>
      </c>
      <c r="F135" s="11">
        <f t="shared" si="16"/>
        <v>0.47619047619047616</v>
      </c>
      <c r="G135" s="11">
        <f t="shared" si="17"/>
        <v>0.58333333333333337</v>
      </c>
      <c r="H135" s="11">
        <f t="shared" si="18"/>
        <v>0.449438202247191</v>
      </c>
      <c r="I135" s="12">
        <f>C135+Parameters!$B$6*NORMSINV(H135)</f>
        <v>3.2204221201109369</v>
      </c>
      <c r="J135" s="10">
        <v>16</v>
      </c>
      <c r="K135" s="9">
        <v>20.329999999999998</v>
      </c>
      <c r="L135" s="13">
        <v>0.36820000000000003</v>
      </c>
      <c r="M135" s="10">
        <v>1</v>
      </c>
      <c r="N135" s="14">
        <f>Parameters!$B$2*I135</f>
        <v>16.102110600554685</v>
      </c>
      <c r="O135" s="14">
        <f>Parameters!$B$4*((Parameters!$B$9-M135)*L135+M135)</f>
        <v>12.625500000000001</v>
      </c>
      <c r="P135" s="14">
        <f t="shared" si="19"/>
        <v>28.727610600554684</v>
      </c>
      <c r="Q135" s="11">
        <f>(O135-Parameters!$B$4*M135)/P135</f>
        <v>0.35246579121357535</v>
      </c>
      <c r="R135" s="15">
        <f>IF(Parameters!$B$4*M135/P135&gt;Parameters!$B$18,0,Parameters!$B$16+(Parameters!$B$17-Parameters!$B$16)*(Q135-MIN(Q$2:Q$139))/(MAX(Q$2:Q$139)-MIN(Q$2:Q$139)))</f>
        <v>2.7007788730791633E-2</v>
      </c>
      <c r="S135" s="16">
        <f>ROUND(P135*(1-R135)/Parameters!$B$10,0)*Parameters!$B$10</f>
        <v>27.95</v>
      </c>
    </row>
    <row r="136" spans="1:19" x14ac:dyDescent="0.35">
      <c r="A136" s="8" t="s">
        <v>244</v>
      </c>
      <c r="B136" s="8" t="s">
        <v>125</v>
      </c>
      <c r="C136" s="9">
        <v>3.5</v>
      </c>
      <c r="D136" s="10">
        <v>120</v>
      </c>
      <c r="E136" s="10">
        <v>-150</v>
      </c>
      <c r="F136" s="11">
        <f t="shared" si="16"/>
        <v>0.45454545454545453</v>
      </c>
      <c r="G136" s="11">
        <f t="shared" si="17"/>
        <v>0.6</v>
      </c>
      <c r="H136" s="11">
        <f t="shared" si="18"/>
        <v>0.43103448275862072</v>
      </c>
      <c r="I136" s="12">
        <f>C136+Parameters!$B$6*NORMSINV(H136)</f>
        <v>3.1177696637940997</v>
      </c>
      <c r="J136" s="10">
        <v>16</v>
      </c>
      <c r="K136" s="9">
        <v>19.989999999999998</v>
      </c>
      <c r="L136" s="13">
        <v>0.37919999999999998</v>
      </c>
      <c r="M136" s="10">
        <v>1</v>
      </c>
      <c r="N136" s="14">
        <f>Parameters!$B$2*I136</f>
        <v>15.588848318970498</v>
      </c>
      <c r="O136" s="14">
        <f>Parameters!$B$4*((Parameters!$B$9-M136)*L136+M136)</f>
        <v>12.927999999999999</v>
      </c>
      <c r="P136" s="14">
        <f t="shared" si="19"/>
        <v>28.516848318970496</v>
      </c>
      <c r="Q136" s="11">
        <f>(O136-Parameters!$B$4*M136)/P136</f>
        <v>0.36567855898237167</v>
      </c>
      <c r="R136" s="15">
        <f>IF(Parameters!$B$4*M136/P136&gt;Parameters!$B$18,0,Parameters!$B$16+(Parameters!$B$17-Parameters!$B$16)*(Q136-MIN(Q$2:Q$139))/(MAX(Q$2:Q$139)-MIN(Q$2:Q$139)))</f>
        <v>2.772056772809825E-2</v>
      </c>
      <c r="S136" s="16">
        <f>ROUND(P136*(1-R136)/Parameters!$B$10,0)*Parameters!$B$10</f>
        <v>27.73</v>
      </c>
    </row>
    <row r="137" spans="1:19" x14ac:dyDescent="0.35">
      <c r="A137" s="8" t="s">
        <v>245</v>
      </c>
      <c r="B137" s="8" t="s">
        <v>103</v>
      </c>
      <c r="C137" s="9">
        <v>3.5</v>
      </c>
      <c r="D137" s="10">
        <v>120</v>
      </c>
      <c r="E137" s="10">
        <v>-155</v>
      </c>
      <c r="F137" s="11">
        <f t="shared" si="16"/>
        <v>0.45454545454545453</v>
      </c>
      <c r="G137" s="11">
        <f t="shared" si="17"/>
        <v>0.60784313725490191</v>
      </c>
      <c r="H137" s="11">
        <f t="shared" si="18"/>
        <v>0.42785234899328861</v>
      </c>
      <c r="I137" s="12">
        <f>C137+Parameters!$B$6*NORMSINV(H137)</f>
        <v>3.0999419241011852</v>
      </c>
      <c r="J137" s="10">
        <v>32</v>
      </c>
      <c r="K137" s="9">
        <v>29.53</v>
      </c>
      <c r="L137" s="13">
        <v>0.3795</v>
      </c>
      <c r="M137" s="10">
        <v>1</v>
      </c>
      <c r="N137" s="14">
        <f>Parameters!$B$2*I137</f>
        <v>15.499709620505925</v>
      </c>
      <c r="O137" s="14">
        <f>Parameters!$B$4*((Parameters!$B$9-M137)*L137+M137)</f>
        <v>12.936250000000001</v>
      </c>
      <c r="P137" s="14">
        <f t="shared" si="19"/>
        <v>28.435959620505926</v>
      </c>
      <c r="Q137" s="11">
        <f>(O137-Parameters!$B$4*M137)/P137</f>
        <v>0.36700889082969945</v>
      </c>
      <c r="R137" s="15">
        <f>IF(Parameters!$B$4*M137/P137&gt;Parameters!$B$18,0,Parameters!$B$16+(Parameters!$B$17-Parameters!$B$16)*(Q137-MIN(Q$2:Q$139))/(MAX(Q$2:Q$139)-MIN(Q$2:Q$139)))</f>
        <v>2.779233411473396E-2</v>
      </c>
      <c r="S137" s="16">
        <f>ROUND(P137*(1-R137)/Parameters!$B$10,0)*Parameters!$B$10</f>
        <v>27.650000000000002</v>
      </c>
    </row>
    <row r="138" spans="1:19" x14ac:dyDescent="0.35">
      <c r="A138" s="8" t="s">
        <v>246</v>
      </c>
      <c r="B138" s="8" t="s">
        <v>143</v>
      </c>
      <c r="C138" s="9">
        <v>2.5</v>
      </c>
      <c r="D138" s="10">
        <v>-150</v>
      </c>
      <c r="E138" s="10">
        <v>115</v>
      </c>
      <c r="F138" s="11">
        <f t="shared" si="16"/>
        <v>0.6</v>
      </c>
      <c r="G138" s="11">
        <f t="shared" si="17"/>
        <v>0.46511627906976744</v>
      </c>
      <c r="H138" s="11">
        <f t="shared" si="18"/>
        <v>0.5633187772925764</v>
      </c>
      <c r="I138" s="12">
        <f>C138+Parameters!$B$6*NORMSINV(H138)</f>
        <v>2.8506556867269039</v>
      </c>
      <c r="J138" s="10">
        <v>15</v>
      </c>
      <c r="K138" s="9">
        <v>18.5</v>
      </c>
      <c r="L138" s="13">
        <v>0.36359999999999998</v>
      </c>
      <c r="M138" s="10">
        <v>1</v>
      </c>
      <c r="N138" s="14">
        <f>Parameters!$B$2*I138</f>
        <v>14.25327843363452</v>
      </c>
      <c r="O138" s="14">
        <f>Parameters!$B$4*((Parameters!$B$9-M138)*L138+M138)</f>
        <v>12.498999999999999</v>
      </c>
      <c r="P138" s="14">
        <f t="shared" si="19"/>
        <v>26.752278433634519</v>
      </c>
      <c r="Q138" s="11">
        <f>(O138-Parameters!$B$4*M138)/P138</f>
        <v>0.37376255726423191</v>
      </c>
      <c r="R138" s="15">
        <f>IF(Parameters!$B$4*M138/P138&gt;Parameters!$B$18,0,Parameters!$B$16+(Parameters!$B$17-Parameters!$B$16)*(Q138-MIN(Q$2:Q$139))/(MAX(Q$2:Q$139)-MIN(Q$2:Q$139)))</f>
        <v>2.8156668951581545E-2</v>
      </c>
      <c r="S138" s="16">
        <f>ROUND(P138*(1-R138)/Parameters!$B$10,0)*Parameters!$B$10</f>
        <v>26</v>
      </c>
    </row>
    <row r="139" spans="1:19" x14ac:dyDescent="0.35">
      <c r="A139" s="8" t="s">
        <v>247</v>
      </c>
      <c r="B139" s="8" t="s">
        <v>122</v>
      </c>
      <c r="C139" s="9">
        <v>2.5</v>
      </c>
      <c r="D139" s="10">
        <v>120</v>
      </c>
      <c r="E139" s="10">
        <v>-155</v>
      </c>
      <c r="F139" s="11">
        <f t="shared" si="16"/>
        <v>0.45454545454545453</v>
      </c>
      <c r="G139" s="11">
        <f t="shared" si="17"/>
        <v>0.60784313725490191</v>
      </c>
      <c r="H139" s="11">
        <f t="shared" si="18"/>
        <v>0.42785234899328861</v>
      </c>
      <c r="I139" s="12">
        <f>C139+Parameters!$B$6*NORMSINV(H139)</f>
        <v>2.0999419241011852</v>
      </c>
      <c r="J139" s="10">
        <v>18</v>
      </c>
      <c r="K139" s="9">
        <v>17.8</v>
      </c>
      <c r="L139" s="13">
        <v>0.32569999999999999</v>
      </c>
      <c r="M139" s="10">
        <v>1</v>
      </c>
      <c r="N139" s="14">
        <f>Parameters!$B$2*I139</f>
        <v>10.499709620505925</v>
      </c>
      <c r="O139" s="14">
        <f>Parameters!$B$4*((Parameters!$B$9-M139)*L139+M139)</f>
        <v>11.45675</v>
      </c>
      <c r="P139" s="14">
        <f t="shared" si="19"/>
        <v>21.956459620505925</v>
      </c>
      <c r="Q139" s="11">
        <f>(O139-Parameters!$B$4*M139)/P139</f>
        <v>0.40793234222674812</v>
      </c>
      <c r="R139" s="15">
        <f>IF(Parameters!$B$4*M139/P139&gt;Parameters!$B$18,0,Parameters!$B$16+(Parameters!$B$17-Parameters!$B$16)*(Q139-MIN(Q$2:Q$139))/(MAX(Q$2:Q$139)-MIN(Q$2:Q$139)))</f>
        <v>0.03</v>
      </c>
      <c r="S139" s="16">
        <f>ROUND(P139*(1-R139)/Parameters!$B$10,0)*Parameters!$B$10</f>
        <v>21.3</v>
      </c>
    </row>
    <row r="141" spans="1:19" x14ac:dyDescent="0.35">
      <c r="A141" s="6" t="s">
        <v>97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4"/>
  <sheetViews>
    <sheetView zoomScaleNormal="100" workbookViewId="0"/>
  </sheetViews>
  <sheetFormatPr defaultColWidth="8.6328125" defaultRowHeight="14.5" x14ac:dyDescent="0.35"/>
  <cols>
    <col min="1" max="1" width="130" customWidth="1"/>
  </cols>
  <sheetData>
    <row r="1" spans="1:1" x14ac:dyDescent="0.35">
      <c r="A1" s="6" t="s">
        <v>248</v>
      </c>
    </row>
    <row r="2" spans="1:1" x14ac:dyDescent="0.35">
      <c r="A2" s="2"/>
    </row>
    <row r="3" spans="1:1" x14ac:dyDescent="0.35">
      <c r="A3" s="6" t="s">
        <v>249</v>
      </c>
    </row>
    <row r="4" spans="1:1" x14ac:dyDescent="0.35">
      <c r="A4" s="2" t="s">
        <v>250</v>
      </c>
    </row>
    <row r="5" spans="1:1" x14ac:dyDescent="0.35">
      <c r="A5" s="2" t="s">
        <v>251</v>
      </c>
    </row>
    <row r="6" spans="1:1" x14ac:dyDescent="0.35">
      <c r="A6" s="2" t="s">
        <v>252</v>
      </c>
    </row>
    <row r="7" spans="1:1" x14ac:dyDescent="0.35">
      <c r="A7" s="2" t="s">
        <v>253</v>
      </c>
    </row>
    <row r="8" spans="1:1" x14ac:dyDescent="0.35">
      <c r="A8" s="2"/>
    </row>
    <row r="9" spans="1:1" x14ac:dyDescent="0.35">
      <c r="A9" s="6" t="s">
        <v>254</v>
      </c>
    </row>
    <row r="10" spans="1:1" x14ac:dyDescent="0.35">
      <c r="A10" s="2" t="s">
        <v>255</v>
      </c>
    </row>
    <row r="11" spans="1:1" x14ac:dyDescent="0.35">
      <c r="A11" s="2" t="s">
        <v>256</v>
      </c>
    </row>
    <row r="12" spans="1:1" x14ac:dyDescent="0.35">
      <c r="A12" s="2"/>
    </row>
    <row r="13" spans="1:1" x14ac:dyDescent="0.35">
      <c r="A13" s="6" t="s">
        <v>257</v>
      </c>
    </row>
    <row r="14" spans="1:1" x14ac:dyDescent="0.35">
      <c r="A14" s="2" t="s">
        <v>258</v>
      </c>
    </row>
    <row r="15" spans="1:1" x14ac:dyDescent="0.35">
      <c r="A15" s="2" t="s">
        <v>259</v>
      </c>
    </row>
    <row r="16" spans="1:1" x14ac:dyDescent="0.35">
      <c r="A16" s="2" t="s">
        <v>260</v>
      </c>
    </row>
    <row r="17" spans="1:1" x14ac:dyDescent="0.35">
      <c r="A17" s="2" t="s">
        <v>261</v>
      </c>
    </row>
    <row r="18" spans="1:1" x14ac:dyDescent="0.35">
      <c r="A18" s="2" t="s">
        <v>262</v>
      </c>
    </row>
    <row r="19" spans="1:1" x14ac:dyDescent="0.35">
      <c r="A19" s="2" t="s">
        <v>263</v>
      </c>
    </row>
    <row r="20" spans="1:1" x14ac:dyDescent="0.35">
      <c r="A20" s="2"/>
    </row>
    <row r="21" spans="1:1" x14ac:dyDescent="0.35">
      <c r="A21" s="6" t="s">
        <v>264</v>
      </c>
    </row>
    <row r="22" spans="1:1" x14ac:dyDescent="0.35">
      <c r="A22" s="2" t="s">
        <v>265</v>
      </c>
    </row>
    <row r="23" spans="1:1" x14ac:dyDescent="0.35">
      <c r="A23" s="2" t="s">
        <v>266</v>
      </c>
    </row>
    <row r="24" spans="1:1" x14ac:dyDescent="0.35">
      <c r="A24" s="2" t="s">
        <v>267</v>
      </c>
    </row>
    <row r="25" spans="1:1" x14ac:dyDescent="0.35">
      <c r="A25" s="2" t="s">
        <v>268</v>
      </c>
    </row>
    <row r="26" spans="1:1" x14ac:dyDescent="0.35">
      <c r="A26" s="2" t="s">
        <v>269</v>
      </c>
    </row>
    <row r="27" spans="1:1" x14ac:dyDescent="0.35">
      <c r="A27" s="2" t="s">
        <v>270</v>
      </c>
    </row>
    <row r="28" spans="1:1" x14ac:dyDescent="0.35">
      <c r="A28" s="2" t="s">
        <v>271</v>
      </c>
    </row>
    <row r="29" spans="1:1" x14ac:dyDescent="0.35">
      <c r="A29" s="2" t="s">
        <v>272</v>
      </c>
    </row>
    <row r="30" spans="1:1" x14ac:dyDescent="0.35">
      <c r="A30" s="2" t="s">
        <v>273</v>
      </c>
    </row>
    <row r="31" spans="1:1" x14ac:dyDescent="0.35">
      <c r="A31" s="2" t="s">
        <v>274</v>
      </c>
    </row>
    <row r="32" spans="1:1" x14ac:dyDescent="0.35">
      <c r="A32" s="2" t="s">
        <v>275</v>
      </c>
    </row>
    <row r="33" spans="1:1" x14ac:dyDescent="0.35">
      <c r="A33" s="2" t="s">
        <v>276</v>
      </c>
    </row>
    <row r="34" spans="1:1" x14ac:dyDescent="0.35">
      <c r="A34" s="2" t="s">
        <v>277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Parameters</vt:lpstr>
      <vt:lpstr>NFL IPO</vt:lpstr>
      <vt:lpstr>NCAA IPO</vt:lpstr>
      <vt:lpstr>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Edwin Johnson</cp:lastModifiedBy>
  <cp:revision>0</cp:revision>
  <dcterms:created xsi:type="dcterms:W3CDTF">2026-07-24T15:48:14Z</dcterms:created>
  <dcterms:modified xsi:type="dcterms:W3CDTF">2026-07-24T17:16:22Z</dcterms:modified>
  <dc:language>en-US</dc:language>
</cp:coreProperties>
</file>